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minimized="1" xWindow="240" yWindow="105" windowWidth="14805" windowHeight="8010"/>
  </bookViews>
  <sheets>
    <sheet name="基本数据计算" sheetId="1" r:id="rId1"/>
    <sheet name="数据记录实验1" sheetId="2" r:id="rId2"/>
    <sheet name="数据记录实验2" sheetId="3" r:id="rId3"/>
    <sheet name="数据记录实验3" sheetId="4" r:id="rId4"/>
    <sheet name="Sheet3" sheetId="7" r:id="rId5"/>
    <sheet name="Sheet1" sheetId="5" r:id="rId6"/>
  </sheets>
  <externalReferences>
    <externalReference r:id="rId7"/>
  </externalReferences>
  <calcPr calcId="152511"/>
</workbook>
</file>

<file path=xl/calcChain.xml><?xml version="1.0" encoding="utf-8"?>
<calcChain xmlns="http://schemas.openxmlformats.org/spreadsheetml/2006/main">
  <c r="N5" i="4" l="1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4" i="4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4" i="2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4" i="3"/>
  <c r="K14" i="1" l="1"/>
  <c r="K15" i="1"/>
  <c r="K16" i="1"/>
  <c r="K17" i="1"/>
  <c r="K18" i="1"/>
  <c r="K19" i="1"/>
  <c r="K20" i="1"/>
  <c r="K21" i="1"/>
  <c r="K13" i="1"/>
  <c r="G5" i="2" l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4" i="2"/>
  <c r="J487" i="2" l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467" i="2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J467" i="2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47" i="2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K446" i="2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J445" i="2"/>
  <c r="J427" i="2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K426" i="2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J424" i="2"/>
  <c r="K424" i="2" s="1"/>
  <c r="J407" i="2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K406" i="2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J403" i="2"/>
  <c r="J387" i="2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K386" i="2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J382" i="2"/>
  <c r="J383" i="2" s="1"/>
  <c r="J384" i="2" s="1"/>
  <c r="J385" i="2" s="1"/>
  <c r="J367" i="2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K366" i="2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J361" i="2"/>
  <c r="J362" i="2" s="1"/>
  <c r="J363" i="2" s="1"/>
  <c r="J364" i="2" s="1"/>
  <c r="J365" i="2" s="1"/>
  <c r="J347" i="2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K346" i="2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J340" i="2"/>
  <c r="K340" i="2" s="1"/>
  <c r="K341" i="2" s="1"/>
  <c r="K342" i="2" s="1"/>
  <c r="K343" i="2" s="1"/>
  <c r="K344" i="2" s="1"/>
  <c r="J327" i="2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K326" i="2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J319" i="2"/>
  <c r="J320" i="2" s="1"/>
  <c r="J321" i="2" s="1"/>
  <c r="J322" i="2" s="1"/>
  <c r="J323" i="2" s="1"/>
  <c r="J324" i="2" s="1"/>
  <c r="J325" i="2" s="1"/>
  <c r="J307" i="2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K306" i="2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J298" i="2"/>
  <c r="K298" i="2" s="1"/>
  <c r="K299" i="2" s="1"/>
  <c r="K300" i="2" s="1"/>
  <c r="K301" i="2" s="1"/>
  <c r="K302" i="2" s="1"/>
  <c r="K303" i="2" s="1"/>
  <c r="K304" i="2" s="1"/>
  <c r="J287" i="2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K286" i="2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J277" i="2"/>
  <c r="K277" i="2" s="1"/>
  <c r="K278" i="2" s="1"/>
  <c r="K279" i="2" s="1"/>
  <c r="K280" i="2" s="1"/>
  <c r="K281" i="2" s="1"/>
  <c r="K282" i="2" s="1"/>
  <c r="K283" i="2" s="1"/>
  <c r="K284" i="2" s="1"/>
  <c r="J267" i="2"/>
  <c r="J268" i="2" s="1"/>
  <c r="J269" i="2" s="1"/>
  <c r="J270" i="2" s="1"/>
  <c r="J271" i="2" s="1"/>
  <c r="J272" i="2" s="1"/>
  <c r="J273" i="2" s="1"/>
  <c r="J274" i="2" s="1"/>
  <c r="J275" i="2" s="1"/>
  <c r="J276" i="2" s="1"/>
  <c r="K266" i="2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J256" i="2"/>
  <c r="K256" i="2" s="1"/>
  <c r="K257" i="2" s="1"/>
  <c r="K258" i="2" s="1"/>
  <c r="K259" i="2" s="1"/>
  <c r="K260" i="2" s="1"/>
  <c r="K261" i="2" s="1"/>
  <c r="K262" i="2" s="1"/>
  <c r="K263" i="2" s="1"/>
  <c r="K264" i="2" s="1"/>
  <c r="J247" i="2"/>
  <c r="J248" i="2" s="1"/>
  <c r="J249" i="2" s="1"/>
  <c r="J250" i="2" s="1"/>
  <c r="J251" i="2" s="1"/>
  <c r="J252" i="2" s="1"/>
  <c r="J253" i="2" s="1"/>
  <c r="J254" i="2" s="1"/>
  <c r="J255" i="2" s="1"/>
  <c r="K246" i="2"/>
  <c r="K247" i="2" s="1"/>
  <c r="K248" i="2" s="1"/>
  <c r="K249" i="2" s="1"/>
  <c r="K250" i="2" s="1"/>
  <c r="K251" i="2" s="1"/>
  <c r="K252" i="2" s="1"/>
  <c r="K253" i="2" s="1"/>
  <c r="K254" i="2" s="1"/>
  <c r="K255" i="2" s="1"/>
  <c r="J235" i="2"/>
  <c r="J227" i="2"/>
  <c r="J228" i="2" s="1"/>
  <c r="J229" i="2" s="1"/>
  <c r="J230" i="2" s="1"/>
  <c r="J231" i="2" s="1"/>
  <c r="J232" i="2" s="1"/>
  <c r="J233" i="2" s="1"/>
  <c r="J234" i="2" s="1"/>
  <c r="K226" i="2"/>
  <c r="K227" i="2" s="1"/>
  <c r="K228" i="2" s="1"/>
  <c r="K229" i="2" s="1"/>
  <c r="K230" i="2" s="1"/>
  <c r="K231" i="2" s="1"/>
  <c r="K232" i="2" s="1"/>
  <c r="K233" i="2" s="1"/>
  <c r="K234" i="2" s="1"/>
  <c r="J214" i="2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07" i="2"/>
  <c r="J208" i="2" s="1"/>
  <c r="J209" i="2" s="1"/>
  <c r="J210" i="2" s="1"/>
  <c r="J211" i="2" s="1"/>
  <c r="J212" i="2" s="1"/>
  <c r="J213" i="2" s="1"/>
  <c r="K206" i="2"/>
  <c r="K207" i="2" s="1"/>
  <c r="K208" i="2" s="1"/>
  <c r="K209" i="2" s="1"/>
  <c r="K210" i="2" s="1"/>
  <c r="K211" i="2" s="1"/>
  <c r="K212" i="2" s="1"/>
  <c r="K213" i="2" s="1"/>
  <c r="J193" i="2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J187" i="2"/>
  <c r="J188" i="2" s="1"/>
  <c r="J189" i="2" s="1"/>
  <c r="J190" i="2" s="1"/>
  <c r="J191" i="2" s="1"/>
  <c r="J192" i="2" s="1"/>
  <c r="K186" i="2"/>
  <c r="K187" i="2" s="1"/>
  <c r="K188" i="2" s="1"/>
  <c r="K189" i="2" s="1"/>
  <c r="K190" i="2" s="1"/>
  <c r="K191" i="2" s="1"/>
  <c r="K192" i="2" s="1"/>
  <c r="J172" i="2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69" i="2"/>
  <c r="J170" i="2" s="1"/>
  <c r="J171" i="2" s="1"/>
  <c r="J167" i="2"/>
  <c r="J168" i="2" s="1"/>
  <c r="K166" i="2"/>
  <c r="K167" i="2" s="1"/>
  <c r="K168" i="2" s="1"/>
  <c r="K169" i="2" s="1"/>
  <c r="K170" i="2" s="1"/>
  <c r="K171" i="2" s="1"/>
  <c r="C166" i="2"/>
  <c r="C167" i="2" s="1"/>
  <c r="C168" i="2" s="1"/>
  <c r="C169" i="2" s="1"/>
  <c r="C170" i="2" s="1"/>
  <c r="C171" i="2" s="1"/>
  <c r="B166" i="2"/>
  <c r="B167" i="2" s="1"/>
  <c r="B168" i="2" s="1"/>
  <c r="B169" i="2" s="1"/>
  <c r="B170" i="2" s="1"/>
  <c r="B171" i="2" s="1"/>
  <c r="D165" i="2"/>
  <c r="D166" i="2" s="1"/>
  <c r="D167" i="2" s="1"/>
  <c r="D168" i="2" s="1"/>
  <c r="D169" i="2" s="1"/>
  <c r="D170" i="2" s="1"/>
  <c r="D171" i="2" s="1"/>
  <c r="B160" i="2"/>
  <c r="B161" i="2" s="1"/>
  <c r="B162" i="2" s="1"/>
  <c r="B163" i="2" s="1"/>
  <c r="B164" i="2" s="1"/>
  <c r="D159" i="2"/>
  <c r="D160" i="2" s="1"/>
  <c r="D161" i="2" s="1"/>
  <c r="D162" i="2" s="1"/>
  <c r="D163" i="2" s="1"/>
  <c r="D164" i="2" s="1"/>
  <c r="C159" i="2"/>
  <c r="C160" i="2" s="1"/>
  <c r="C161" i="2" s="1"/>
  <c r="C162" i="2" s="1"/>
  <c r="C163" i="2" s="1"/>
  <c r="C164" i="2" s="1"/>
  <c r="B158" i="2"/>
  <c r="B154" i="2"/>
  <c r="B155" i="2" s="1"/>
  <c r="B156" i="2" s="1"/>
  <c r="B157" i="2" s="1"/>
  <c r="C153" i="2"/>
  <c r="C154" i="2" s="1"/>
  <c r="C155" i="2" s="1"/>
  <c r="C156" i="2" s="1"/>
  <c r="C157" i="2" s="1"/>
  <c r="D152" i="2"/>
  <c r="D153" i="2" s="1"/>
  <c r="D154" i="2" s="1"/>
  <c r="D155" i="2" s="1"/>
  <c r="D156" i="2" s="1"/>
  <c r="D157" i="2" s="1"/>
  <c r="J151" i="2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B151" i="2"/>
  <c r="B148" i="2"/>
  <c r="B149" i="2" s="1"/>
  <c r="B150" i="2" s="1"/>
  <c r="J147" i="2"/>
  <c r="J148" i="2" s="1"/>
  <c r="J149" i="2" s="1"/>
  <c r="J150" i="2" s="1"/>
  <c r="K146" i="2"/>
  <c r="K147" i="2" s="1"/>
  <c r="K148" i="2" s="1"/>
  <c r="K149" i="2" s="1"/>
  <c r="K150" i="2" s="1"/>
  <c r="D146" i="2"/>
  <c r="D147" i="2" s="1"/>
  <c r="D148" i="2" s="1"/>
  <c r="D149" i="2" s="1"/>
  <c r="D150" i="2" s="1"/>
  <c r="C146" i="2"/>
  <c r="C147" i="2" s="1"/>
  <c r="C148" i="2" s="1"/>
  <c r="C149" i="2" s="1"/>
  <c r="C150" i="2" s="1"/>
  <c r="B144" i="2"/>
  <c r="B145" i="2" s="1"/>
  <c r="B146" i="2" s="1"/>
  <c r="B142" i="2"/>
  <c r="B143" i="2" s="1"/>
  <c r="C140" i="2"/>
  <c r="C141" i="2" s="1"/>
  <c r="C142" i="2" s="1"/>
  <c r="C143" i="2" s="1"/>
  <c r="D139" i="2"/>
  <c r="D140" i="2" s="1"/>
  <c r="D141" i="2" s="1"/>
  <c r="D142" i="2" s="1"/>
  <c r="D143" i="2" s="1"/>
  <c r="B137" i="2"/>
  <c r="B138" i="2" s="1"/>
  <c r="B139" i="2" s="1"/>
  <c r="B140" i="2" s="1"/>
  <c r="B136" i="2"/>
  <c r="C133" i="2"/>
  <c r="C134" i="2" s="1"/>
  <c r="C135" i="2" s="1"/>
  <c r="C136" i="2" s="1"/>
  <c r="D132" i="2"/>
  <c r="D133" i="2" s="1"/>
  <c r="D134" i="2" s="1"/>
  <c r="D135" i="2" s="1"/>
  <c r="D136" i="2" s="1"/>
  <c r="J130" i="2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B130" i="2"/>
  <c r="J127" i="2"/>
  <c r="J128" i="2" s="1"/>
  <c r="J129" i="2" s="1"/>
  <c r="C127" i="2"/>
  <c r="C128" i="2" s="1"/>
  <c r="C129" i="2" s="1"/>
  <c r="K126" i="2"/>
  <c r="K127" i="2" s="1"/>
  <c r="K128" i="2" s="1"/>
  <c r="K129" i="2" s="1"/>
  <c r="D126" i="2"/>
  <c r="D127" i="2" s="1"/>
  <c r="D128" i="2" s="1"/>
  <c r="D129" i="2" s="1"/>
  <c r="B123" i="2"/>
  <c r="B124" i="2" s="1"/>
  <c r="B125" i="2" s="1"/>
  <c r="B126" i="2" s="1"/>
  <c r="B127" i="2" s="1"/>
  <c r="B128" i="2" s="1"/>
  <c r="C120" i="2"/>
  <c r="C121" i="2" s="1"/>
  <c r="C122" i="2" s="1"/>
  <c r="D119" i="2"/>
  <c r="D120" i="2" s="1"/>
  <c r="D121" i="2" s="1"/>
  <c r="D122" i="2" s="1"/>
  <c r="B116" i="2"/>
  <c r="B117" i="2" s="1"/>
  <c r="B118" i="2" s="1"/>
  <c r="B119" i="2" s="1"/>
  <c r="B120" i="2" s="1"/>
  <c r="B121" i="2" s="1"/>
  <c r="B122" i="2" s="1"/>
  <c r="C114" i="2"/>
  <c r="C115" i="2" s="1"/>
  <c r="D113" i="2"/>
  <c r="D114" i="2" s="1"/>
  <c r="D115" i="2" s="1"/>
  <c r="J109" i="2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B109" i="2"/>
  <c r="B110" i="2" s="1"/>
  <c r="B111" i="2" s="1"/>
  <c r="B112" i="2" s="1"/>
  <c r="B113" i="2" s="1"/>
  <c r="B114" i="2" s="1"/>
  <c r="B115" i="2" s="1"/>
  <c r="J107" i="2"/>
  <c r="J108" i="2" s="1"/>
  <c r="C107" i="2"/>
  <c r="C108" i="2" s="1"/>
  <c r="K106" i="2"/>
  <c r="K107" i="2" s="1"/>
  <c r="K108" i="2" s="1"/>
  <c r="D106" i="2"/>
  <c r="D107" i="2" s="1"/>
  <c r="D108" i="2" s="1"/>
  <c r="B102" i="2"/>
  <c r="B103" i="2" s="1"/>
  <c r="B104" i="2" s="1"/>
  <c r="B105" i="2" s="1"/>
  <c r="B106" i="2" s="1"/>
  <c r="B107" i="2" s="1"/>
  <c r="B108" i="2" s="1"/>
  <c r="C101" i="2"/>
  <c r="D99" i="2"/>
  <c r="D100" i="2" s="1"/>
  <c r="D101" i="2" s="1"/>
  <c r="B95" i="2"/>
  <c r="B96" i="2" s="1"/>
  <c r="B97" i="2" s="1"/>
  <c r="B98" i="2" s="1"/>
  <c r="B99" i="2" s="1"/>
  <c r="B100" i="2" s="1"/>
  <c r="B101" i="2" s="1"/>
  <c r="C94" i="2"/>
  <c r="D92" i="2"/>
  <c r="D93" i="2" s="1"/>
  <c r="D94" i="2" s="1"/>
  <c r="J88" i="2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B88" i="2"/>
  <c r="J87" i="2"/>
  <c r="K86" i="2"/>
  <c r="K87" i="2" s="1"/>
  <c r="D86" i="2"/>
  <c r="D87" i="2" s="1"/>
  <c r="B81" i="2"/>
  <c r="D79" i="2"/>
  <c r="D80" i="2" s="1"/>
  <c r="B74" i="2"/>
  <c r="B75" i="2" s="1"/>
  <c r="B76" i="2" s="1"/>
  <c r="B77" i="2" s="1"/>
  <c r="B78" i="2" s="1"/>
  <c r="B79" i="2" s="1"/>
  <c r="B80" i="2" s="1"/>
  <c r="D72" i="2"/>
  <c r="D73" i="2" s="1"/>
  <c r="K67" i="2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J67" i="2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B67" i="2"/>
  <c r="B68" i="2" s="1"/>
  <c r="B69" i="2" s="1"/>
  <c r="B70" i="2" s="1"/>
  <c r="B71" i="2" s="1"/>
  <c r="B72" i="2" s="1"/>
  <c r="B73" i="2" s="1"/>
  <c r="D66" i="2"/>
  <c r="B61" i="2"/>
  <c r="B62" i="2" s="1"/>
  <c r="B63" i="2" s="1"/>
  <c r="B64" i="2" s="1"/>
  <c r="B65" i="2" s="1"/>
  <c r="B66" i="2" s="1"/>
  <c r="B60" i="2"/>
  <c r="C60" i="2" s="1"/>
  <c r="D60" i="2" s="1"/>
  <c r="D61" i="2" s="1"/>
  <c r="D62" i="2" s="1"/>
  <c r="D63" i="2" s="1"/>
  <c r="D64" i="2" s="1"/>
  <c r="D59" i="2"/>
  <c r="C53" i="2"/>
  <c r="C54" i="2" s="1"/>
  <c r="C55" i="2" s="1"/>
  <c r="C56" i="2" s="1"/>
  <c r="C57" i="2" s="1"/>
  <c r="C58" i="2" s="1"/>
  <c r="C59" i="2" s="1"/>
  <c r="B53" i="2"/>
  <c r="B54" i="2" s="1"/>
  <c r="B55" i="2" s="1"/>
  <c r="B56" i="2" s="1"/>
  <c r="B57" i="2" s="1"/>
  <c r="B58" i="2" s="1"/>
  <c r="B59" i="2" s="1"/>
  <c r="D52" i="2"/>
  <c r="B46" i="2"/>
  <c r="B47" i="2" s="1"/>
  <c r="B48" i="2" s="1"/>
  <c r="B49" i="2" s="1"/>
  <c r="B50" i="2" s="1"/>
  <c r="B51" i="2" s="1"/>
  <c r="B52" i="2" s="1"/>
  <c r="B39" i="2"/>
  <c r="B40" i="2" s="1"/>
  <c r="B41" i="2" s="1"/>
  <c r="B42" i="2" s="1"/>
  <c r="B43" i="2" s="1"/>
  <c r="B44" i="2" s="1"/>
  <c r="B45" i="2" s="1"/>
  <c r="B32" i="2"/>
  <c r="B33" i="2" s="1"/>
  <c r="B34" i="2" s="1"/>
  <c r="B35" i="2" s="1"/>
  <c r="B36" i="2" s="1"/>
  <c r="B37" i="2" s="1"/>
  <c r="B38" i="2" s="1"/>
  <c r="B25" i="2"/>
  <c r="B26" i="2" s="1"/>
  <c r="B27" i="2" s="1"/>
  <c r="B28" i="2" s="1"/>
  <c r="B29" i="2" s="1"/>
  <c r="B30" i="2" s="1"/>
  <c r="B31" i="2" s="1"/>
  <c r="B18" i="2"/>
  <c r="B19" i="2" s="1"/>
  <c r="B20" i="2" s="1"/>
  <c r="B21" i="2" s="1"/>
  <c r="B22" i="2" s="1"/>
  <c r="B23" i="2" s="1"/>
  <c r="B24" i="2" s="1"/>
  <c r="B11" i="2"/>
  <c r="B12" i="2" s="1"/>
  <c r="B13" i="2" s="1"/>
  <c r="B14" i="2" s="1"/>
  <c r="B15" i="2" s="1"/>
  <c r="B16" i="2" s="1"/>
  <c r="B17" i="2" s="1"/>
  <c r="B4" i="2"/>
  <c r="B5" i="2" s="1"/>
  <c r="B6" i="2" s="1"/>
  <c r="B7" i="2" s="1"/>
  <c r="B8" i="2" s="1"/>
  <c r="B9" i="2" s="1"/>
  <c r="B10" i="2" s="1"/>
  <c r="B4" i="7"/>
  <c r="C4" i="7" s="1"/>
  <c r="G4" i="7"/>
  <c r="N4" i="7"/>
  <c r="B5" i="7"/>
  <c r="G5" i="7"/>
  <c r="N5" i="7"/>
  <c r="P5" i="7"/>
  <c r="Q5" i="7"/>
  <c r="B6" i="7"/>
  <c r="B7" i="7" s="1"/>
  <c r="B8" i="7" s="1"/>
  <c r="G6" i="7"/>
  <c r="N6" i="7"/>
  <c r="P6" i="7"/>
  <c r="Q6" i="7"/>
  <c r="G7" i="7"/>
  <c r="N7" i="7"/>
  <c r="P7" i="7"/>
  <c r="P8" i="7" s="1"/>
  <c r="P9" i="7" s="1"/>
  <c r="Q7" i="7"/>
  <c r="G8" i="7"/>
  <c r="N8" i="7"/>
  <c r="Q8" i="7"/>
  <c r="Q9" i="7" s="1"/>
  <c r="B9" i="7"/>
  <c r="B10" i="7" s="1"/>
  <c r="G9" i="7"/>
  <c r="N9" i="7"/>
  <c r="G10" i="7"/>
  <c r="N10" i="7"/>
  <c r="B11" i="7"/>
  <c r="C11" i="7" s="1"/>
  <c r="D11" i="7" s="1"/>
  <c r="D12" i="7" s="1"/>
  <c r="G11" i="7"/>
  <c r="N11" i="7"/>
  <c r="P11" i="7"/>
  <c r="Q11" i="7"/>
  <c r="B12" i="7"/>
  <c r="B13" i="7" s="1"/>
  <c r="B14" i="7" s="1"/>
  <c r="G12" i="7"/>
  <c r="N12" i="7"/>
  <c r="P12" i="7"/>
  <c r="Q12" i="7"/>
  <c r="D13" i="7"/>
  <c r="G13" i="7"/>
  <c r="N13" i="7"/>
  <c r="P13" i="7"/>
  <c r="P14" i="7" s="1"/>
  <c r="P15" i="7" s="1"/>
  <c r="Q13" i="7"/>
  <c r="D14" i="7"/>
  <c r="D15" i="7" s="1"/>
  <c r="D16" i="7" s="1"/>
  <c r="D17" i="7" s="1"/>
  <c r="G14" i="7"/>
  <c r="N14" i="7"/>
  <c r="Q14" i="7"/>
  <c r="Q15" i="7" s="1"/>
  <c r="B15" i="7"/>
  <c r="G15" i="7"/>
  <c r="N15" i="7"/>
  <c r="B16" i="7"/>
  <c r="G16" i="7"/>
  <c r="N16" i="7"/>
  <c r="B17" i="7"/>
  <c r="G17" i="7"/>
  <c r="N17" i="7"/>
  <c r="P17" i="7"/>
  <c r="Q17" i="7"/>
  <c r="B18" i="7"/>
  <c r="B19" i="7" s="1"/>
  <c r="G18" i="7"/>
  <c r="N18" i="7"/>
  <c r="P18" i="7"/>
  <c r="Q18" i="7"/>
  <c r="G19" i="7"/>
  <c r="N19" i="7"/>
  <c r="P19" i="7"/>
  <c r="P20" i="7" s="1"/>
  <c r="B20" i="7"/>
  <c r="G20" i="7"/>
  <c r="N20" i="7"/>
  <c r="Q20" i="7"/>
  <c r="B21" i="7"/>
  <c r="B22" i="7" s="1"/>
  <c r="B23" i="7" s="1"/>
  <c r="B24" i="7" s="1"/>
  <c r="G21" i="7"/>
  <c r="N21" i="7"/>
  <c r="P21" i="7"/>
  <c r="Q21" i="7"/>
  <c r="G22" i="7"/>
  <c r="N22" i="7"/>
  <c r="G23" i="7"/>
  <c r="N23" i="7"/>
  <c r="P23" i="7"/>
  <c r="Q23" i="7"/>
  <c r="G24" i="7"/>
  <c r="N24" i="7"/>
  <c r="P24" i="7"/>
  <c r="P25" i="7" s="1"/>
  <c r="P26" i="7" s="1"/>
  <c r="P27" i="7" s="1"/>
  <c r="Q24" i="7"/>
  <c r="Q25" i="7" s="1"/>
  <c r="Q26" i="7" s="1"/>
  <c r="Q27" i="7" s="1"/>
  <c r="B25" i="7"/>
  <c r="C25" i="7" s="1"/>
  <c r="D25" i="7"/>
  <c r="D26" i="7" s="1"/>
  <c r="D27" i="7" s="1"/>
  <c r="G25" i="7"/>
  <c r="N25" i="7"/>
  <c r="B26" i="7"/>
  <c r="C26" i="7"/>
  <c r="C27" i="7" s="1"/>
  <c r="C28" i="7" s="1"/>
  <c r="C29" i="7" s="1"/>
  <c r="C30" i="7" s="1"/>
  <c r="C31" i="7" s="1"/>
  <c r="G26" i="7"/>
  <c r="N26" i="7"/>
  <c r="B27" i="7"/>
  <c r="B28" i="7" s="1"/>
  <c r="B29" i="7" s="1"/>
  <c r="B30" i="7" s="1"/>
  <c r="B31" i="7" s="1"/>
  <c r="G27" i="7"/>
  <c r="N27" i="7"/>
  <c r="D28" i="7"/>
  <c r="D29" i="7" s="1"/>
  <c r="G28" i="7"/>
  <c r="N28" i="7"/>
  <c r="G29" i="7"/>
  <c r="N29" i="7"/>
  <c r="P29" i="7"/>
  <c r="P30" i="7" s="1"/>
  <c r="Q29" i="7"/>
  <c r="D30" i="7"/>
  <c r="G30" i="7"/>
  <c r="N30" i="7"/>
  <c r="Q30" i="7"/>
  <c r="Q31" i="7" s="1"/>
  <c r="Q32" i="7" s="1"/>
  <c r="G31" i="7"/>
  <c r="N31" i="7"/>
  <c r="P31" i="7"/>
  <c r="P32" i="7" s="1"/>
  <c r="B32" i="7"/>
  <c r="G32" i="7"/>
  <c r="N32" i="7"/>
  <c r="G33" i="7"/>
  <c r="N33" i="7"/>
  <c r="P33" i="7"/>
  <c r="Q33" i="7"/>
  <c r="G34" i="7"/>
  <c r="N34" i="7"/>
  <c r="G35" i="7"/>
  <c r="N35" i="7"/>
  <c r="P35" i="7"/>
  <c r="P36" i="7" s="1"/>
  <c r="Q35" i="7"/>
  <c r="G36" i="7"/>
  <c r="N36" i="7"/>
  <c r="Q36" i="7"/>
  <c r="Q37" i="7" s="1"/>
  <c r="Q38" i="7" s="1"/>
  <c r="Q39" i="7" s="1"/>
  <c r="G37" i="7"/>
  <c r="N37" i="7"/>
  <c r="P37" i="7"/>
  <c r="P38" i="7" s="1"/>
  <c r="P39" i="7" s="1"/>
  <c r="G38" i="7"/>
  <c r="N38" i="7"/>
  <c r="B39" i="7"/>
  <c r="C39" i="7" s="1"/>
  <c r="C40" i="7" s="1"/>
  <c r="C41" i="7" s="1"/>
  <c r="D39" i="7"/>
  <c r="D40" i="7" s="1"/>
  <c r="D41" i="7" s="1"/>
  <c r="D42" i="7" s="1"/>
  <c r="D43" i="7" s="1"/>
  <c r="D44" i="7" s="1"/>
  <c r="G39" i="7"/>
  <c r="N39" i="7"/>
  <c r="B40" i="7"/>
  <c r="B41" i="7" s="1"/>
  <c r="B42" i="7" s="1"/>
  <c r="B43" i="7" s="1"/>
  <c r="B44" i="7" s="1"/>
  <c r="B45" i="7" s="1"/>
  <c r="G40" i="7"/>
  <c r="N40" i="7"/>
  <c r="G41" i="7"/>
  <c r="N41" i="7"/>
  <c r="P41" i="7"/>
  <c r="Q41" i="7"/>
  <c r="Q42" i="7" s="1"/>
  <c r="C42" i="7"/>
  <c r="G42" i="7"/>
  <c r="N42" i="7"/>
  <c r="P42" i="7"/>
  <c r="C43" i="7"/>
  <c r="C44" i="7" s="1"/>
  <c r="C45" i="7" s="1"/>
  <c r="G43" i="7"/>
  <c r="N43" i="7"/>
  <c r="P43" i="7"/>
  <c r="P44" i="7" s="1"/>
  <c r="Q43" i="7"/>
  <c r="G44" i="7"/>
  <c r="N44" i="7"/>
  <c r="Q44" i="7"/>
  <c r="Q45" i="7" s="1"/>
  <c r="G45" i="7"/>
  <c r="N45" i="7"/>
  <c r="P45" i="7"/>
  <c r="B46" i="7"/>
  <c r="G46" i="7"/>
  <c r="N46" i="7"/>
  <c r="G47" i="7"/>
  <c r="N47" i="7"/>
  <c r="P47" i="7"/>
  <c r="Q47" i="7"/>
  <c r="G48" i="7"/>
  <c r="N48" i="7"/>
  <c r="P48" i="7"/>
  <c r="P49" i="7" s="1"/>
  <c r="P50" i="7" s="1"/>
  <c r="P51" i="7" s="1"/>
  <c r="Q48" i="7"/>
  <c r="G49" i="7"/>
  <c r="N49" i="7"/>
  <c r="Q49" i="7"/>
  <c r="G50" i="7"/>
  <c r="N50" i="7"/>
  <c r="Q50" i="7"/>
  <c r="Q51" i="7" s="1"/>
  <c r="G51" i="7"/>
  <c r="N51" i="7"/>
  <c r="D52" i="7"/>
  <c r="G52" i="7"/>
  <c r="N52" i="7"/>
  <c r="B53" i="7"/>
  <c r="G53" i="7"/>
  <c r="N53" i="7"/>
  <c r="P53" i="7"/>
  <c r="P54" i="7" s="1"/>
  <c r="P55" i="7" s="1"/>
  <c r="Q53" i="7"/>
  <c r="G54" i="7"/>
  <c r="N54" i="7"/>
  <c r="Q54" i="7"/>
  <c r="G55" i="7"/>
  <c r="N55" i="7"/>
  <c r="Q55" i="7"/>
  <c r="Q56" i="7" s="1"/>
  <c r="Q57" i="7" s="1"/>
  <c r="G56" i="7"/>
  <c r="N56" i="7"/>
  <c r="P56" i="7"/>
  <c r="G57" i="7"/>
  <c r="N57" i="7"/>
  <c r="P57" i="7"/>
  <c r="G58" i="7"/>
  <c r="N58" i="7"/>
  <c r="D59" i="7"/>
  <c r="G59" i="7"/>
  <c r="L59" i="7"/>
  <c r="N59" i="7"/>
  <c r="P59" i="7"/>
  <c r="Q59" i="7"/>
  <c r="B60" i="7"/>
  <c r="C60" i="7"/>
  <c r="C61" i="7" s="1"/>
  <c r="G60" i="7"/>
  <c r="N60" i="7"/>
  <c r="P60" i="7"/>
  <c r="P61" i="7" s="1"/>
  <c r="P62" i="7" s="1"/>
  <c r="P63" i="7" s="1"/>
  <c r="Q60" i="7"/>
  <c r="Q61" i="7" s="1"/>
  <c r="Q62" i="7" s="1"/>
  <c r="Q63" i="7" s="1"/>
  <c r="B61" i="7"/>
  <c r="G61" i="7"/>
  <c r="N61" i="7"/>
  <c r="B62" i="7"/>
  <c r="C62" i="7"/>
  <c r="C63" i="7" s="1"/>
  <c r="C64" i="7" s="1"/>
  <c r="C65" i="7" s="1"/>
  <c r="C66" i="7" s="1"/>
  <c r="G62" i="7"/>
  <c r="N62" i="7"/>
  <c r="B63" i="7"/>
  <c r="B64" i="7" s="1"/>
  <c r="B65" i="7" s="1"/>
  <c r="B66" i="7" s="1"/>
  <c r="G63" i="7"/>
  <c r="N63" i="7"/>
  <c r="G64" i="7"/>
  <c r="N64" i="7"/>
  <c r="G65" i="7"/>
  <c r="N65" i="7"/>
  <c r="P65" i="7"/>
  <c r="P66" i="7" s="1"/>
  <c r="Q65" i="7"/>
  <c r="D66" i="7"/>
  <c r="G66" i="7"/>
  <c r="N66" i="7"/>
  <c r="Q66" i="7"/>
  <c r="Q67" i="7" s="1"/>
  <c r="Q68" i="7" s="1"/>
  <c r="Q69" i="7" s="1"/>
  <c r="B67" i="7"/>
  <c r="C67" i="7"/>
  <c r="G67" i="7"/>
  <c r="J67" i="7"/>
  <c r="K67" i="7" s="1"/>
  <c r="K68" i="7" s="1"/>
  <c r="N67" i="7"/>
  <c r="P67" i="7"/>
  <c r="B68" i="7"/>
  <c r="B69" i="7" s="1"/>
  <c r="G68" i="7"/>
  <c r="N68" i="7"/>
  <c r="P68" i="7"/>
  <c r="P69" i="7" s="1"/>
  <c r="G69" i="7"/>
  <c r="K69" i="7"/>
  <c r="K70" i="7" s="1"/>
  <c r="K71" i="7" s="1"/>
  <c r="K72" i="7" s="1"/>
  <c r="K73" i="7" s="1"/>
  <c r="K74" i="7" s="1"/>
  <c r="K75" i="7" s="1"/>
  <c r="K76" i="7" s="1"/>
  <c r="K77" i="7" s="1"/>
  <c r="K78" i="7" s="1"/>
  <c r="K79" i="7" s="1"/>
  <c r="K80" i="7" s="1"/>
  <c r="K81" i="7" s="1"/>
  <c r="K82" i="7" s="1"/>
  <c r="N69" i="7"/>
  <c r="B70" i="7"/>
  <c r="B71" i="7" s="1"/>
  <c r="B72" i="7" s="1"/>
  <c r="B73" i="7" s="1"/>
  <c r="G70" i="7"/>
  <c r="N70" i="7"/>
  <c r="G71" i="7"/>
  <c r="N71" i="7"/>
  <c r="P71" i="7"/>
  <c r="Q71" i="7"/>
  <c r="Q72" i="7" s="1"/>
  <c r="D72" i="7"/>
  <c r="G72" i="7"/>
  <c r="N72" i="7"/>
  <c r="P72" i="7"/>
  <c r="P73" i="7" s="1"/>
  <c r="D73" i="7"/>
  <c r="G73" i="7"/>
  <c r="N73" i="7"/>
  <c r="Q73" i="7"/>
  <c r="B74" i="7"/>
  <c r="C74" i="7"/>
  <c r="G74" i="7"/>
  <c r="N74" i="7"/>
  <c r="P74" i="7"/>
  <c r="P75" i="7" s="1"/>
  <c r="Q74" i="7"/>
  <c r="Q75" i="7" s="1"/>
  <c r="B75" i="7"/>
  <c r="B76" i="7" s="1"/>
  <c r="G75" i="7"/>
  <c r="N75" i="7"/>
  <c r="G76" i="7"/>
  <c r="N76" i="7"/>
  <c r="B77" i="7"/>
  <c r="B78" i="7" s="1"/>
  <c r="B79" i="7" s="1"/>
  <c r="G77" i="7"/>
  <c r="N77" i="7"/>
  <c r="P77" i="7"/>
  <c r="P78" i="7" s="1"/>
  <c r="Q77" i="7"/>
  <c r="Q78" i="7" s="1"/>
  <c r="Q79" i="7" s="1"/>
  <c r="G78" i="7"/>
  <c r="N78" i="7"/>
  <c r="D79" i="7"/>
  <c r="D80" i="7" s="1"/>
  <c r="G79" i="7"/>
  <c r="N79" i="7"/>
  <c r="P79" i="7"/>
  <c r="P80" i="7" s="1"/>
  <c r="P81" i="7" s="1"/>
  <c r="B80" i="7"/>
  <c r="G80" i="7"/>
  <c r="N80" i="7"/>
  <c r="Q80" i="7"/>
  <c r="B81" i="7"/>
  <c r="C81" i="7"/>
  <c r="D81" i="7" s="1"/>
  <c r="D82" i="7" s="1"/>
  <c r="G81" i="7"/>
  <c r="N81" i="7"/>
  <c r="B82" i="7"/>
  <c r="B83" i="7" s="1"/>
  <c r="G82" i="7"/>
  <c r="N82" i="7"/>
  <c r="D83" i="7"/>
  <c r="D84" i="7" s="1"/>
  <c r="G83" i="7"/>
  <c r="K83" i="7"/>
  <c r="K84" i="7" s="1"/>
  <c r="N83" i="7"/>
  <c r="P83" i="7"/>
  <c r="Q83" i="7"/>
  <c r="B84" i="7"/>
  <c r="B85" i="7" s="1"/>
  <c r="B86" i="7" s="1"/>
  <c r="B87" i="7" s="1"/>
  <c r="G84" i="7"/>
  <c r="N84" i="7"/>
  <c r="P84" i="7"/>
  <c r="P85" i="7" s="1"/>
  <c r="P86" i="7" s="1"/>
  <c r="P87" i="7" s="1"/>
  <c r="Q84" i="7"/>
  <c r="G85" i="7"/>
  <c r="N85" i="7"/>
  <c r="Q85" i="7"/>
  <c r="Q86" i="7" s="1"/>
  <c r="D86" i="7"/>
  <c r="G86" i="7"/>
  <c r="K86" i="7"/>
  <c r="N86" i="7"/>
  <c r="D87" i="7"/>
  <c r="G87" i="7"/>
  <c r="J87" i="7"/>
  <c r="K87" i="7"/>
  <c r="N87" i="7"/>
  <c r="B88" i="7"/>
  <c r="B89" i="7" s="1"/>
  <c r="C88" i="7"/>
  <c r="D88" i="7"/>
  <c r="D89" i="7" s="1"/>
  <c r="D90" i="7" s="1"/>
  <c r="G88" i="7"/>
  <c r="J88" i="7"/>
  <c r="J89" i="7" s="1"/>
  <c r="K88" i="7"/>
  <c r="N88" i="7"/>
  <c r="C89" i="7"/>
  <c r="G89" i="7"/>
  <c r="K89" i="7"/>
  <c r="K90" i="7" s="1"/>
  <c r="K91" i="7" s="1"/>
  <c r="N89" i="7"/>
  <c r="P89" i="7"/>
  <c r="P90" i="7" s="1"/>
  <c r="P91" i="7" s="1"/>
  <c r="Q89" i="7"/>
  <c r="B90" i="7"/>
  <c r="C90" i="7"/>
  <c r="G90" i="7"/>
  <c r="J90" i="7"/>
  <c r="J91" i="7" s="1"/>
  <c r="J92" i="7" s="1"/>
  <c r="J93" i="7" s="1"/>
  <c r="J94" i="7" s="1"/>
  <c r="N90" i="7"/>
  <c r="Q90" i="7"/>
  <c r="Q91" i="7" s="1"/>
  <c r="B91" i="7"/>
  <c r="B92" i="7" s="1"/>
  <c r="B93" i="7" s="1"/>
  <c r="B94" i="7" s="1"/>
  <c r="C91" i="7"/>
  <c r="G91" i="7"/>
  <c r="N91" i="7"/>
  <c r="C92" i="7"/>
  <c r="D92" i="7"/>
  <c r="G92" i="7"/>
  <c r="K92" i="7"/>
  <c r="K93" i="7" s="1"/>
  <c r="K94" i="7" s="1"/>
  <c r="K95" i="7" s="1"/>
  <c r="K96" i="7" s="1"/>
  <c r="K97" i="7" s="1"/>
  <c r="K98" i="7" s="1"/>
  <c r="K99" i="7" s="1"/>
  <c r="K100" i="7" s="1"/>
  <c r="K101" i="7" s="1"/>
  <c r="K102" i="7" s="1"/>
  <c r="K103" i="7" s="1"/>
  <c r="K104" i="7" s="1"/>
  <c r="N92" i="7"/>
  <c r="P92" i="7"/>
  <c r="P93" i="7" s="1"/>
  <c r="D93" i="7"/>
  <c r="D94" i="7" s="1"/>
  <c r="G93" i="7"/>
  <c r="N93" i="7"/>
  <c r="Q93" i="7"/>
  <c r="C94" i="7"/>
  <c r="G94" i="7"/>
  <c r="N94" i="7"/>
  <c r="B95" i="7"/>
  <c r="G95" i="7"/>
  <c r="J95" i="7"/>
  <c r="J96" i="7" s="1"/>
  <c r="J97" i="7" s="1"/>
  <c r="J98" i="7" s="1"/>
  <c r="J99" i="7" s="1"/>
  <c r="J100" i="7" s="1"/>
  <c r="J101" i="7" s="1"/>
  <c r="J102" i="7" s="1"/>
  <c r="J103" i="7" s="1"/>
  <c r="J104" i="7" s="1"/>
  <c r="J105" i="7" s="1"/>
  <c r="N95" i="7"/>
  <c r="P95" i="7"/>
  <c r="Q95" i="7"/>
  <c r="G96" i="7"/>
  <c r="N96" i="7"/>
  <c r="P96" i="7"/>
  <c r="P97" i="7" s="1"/>
  <c r="Q96" i="7"/>
  <c r="Q97" i="7" s="1"/>
  <c r="G97" i="7"/>
  <c r="N97" i="7"/>
  <c r="G98" i="7"/>
  <c r="N98" i="7"/>
  <c r="P98" i="7"/>
  <c r="P99" i="7" s="1"/>
  <c r="D99" i="7"/>
  <c r="G99" i="7"/>
  <c r="N99" i="7"/>
  <c r="Q99" i="7"/>
  <c r="D100" i="7"/>
  <c r="D101" i="7" s="1"/>
  <c r="G100" i="7"/>
  <c r="N100" i="7"/>
  <c r="C101" i="7"/>
  <c r="G101" i="7"/>
  <c r="N101" i="7"/>
  <c r="P101" i="7"/>
  <c r="Q101" i="7"/>
  <c r="Q102" i="7" s="1"/>
  <c r="B102" i="7"/>
  <c r="G102" i="7"/>
  <c r="N102" i="7"/>
  <c r="P102" i="7"/>
  <c r="G103" i="7"/>
  <c r="N103" i="7"/>
  <c r="P103" i="7"/>
  <c r="P104" i="7" s="1"/>
  <c r="G104" i="7"/>
  <c r="N104" i="7"/>
  <c r="Q104" i="7"/>
  <c r="G105" i="7"/>
  <c r="N105" i="7"/>
  <c r="P105" i="7"/>
  <c r="Q105" i="7"/>
  <c r="D106" i="7"/>
  <c r="G106" i="7"/>
  <c r="K106" i="7"/>
  <c r="K107" i="7" s="1"/>
  <c r="K108" i="7" s="1"/>
  <c r="N106" i="7"/>
  <c r="C107" i="7"/>
  <c r="D107" i="7"/>
  <c r="D108" i="7" s="1"/>
  <c r="G107" i="7"/>
  <c r="J107" i="7"/>
  <c r="N107" i="7"/>
  <c r="P107" i="7"/>
  <c r="Q107" i="7"/>
  <c r="C108" i="7"/>
  <c r="G108" i="7"/>
  <c r="J108" i="7"/>
  <c r="N108" i="7"/>
  <c r="P108" i="7"/>
  <c r="Q108" i="7"/>
  <c r="B109" i="7"/>
  <c r="C109" i="7" s="1"/>
  <c r="C110" i="7" s="1"/>
  <c r="D109" i="7"/>
  <c r="D110" i="7" s="1"/>
  <c r="G109" i="7"/>
  <c r="J109" i="7"/>
  <c r="K109" i="7" s="1"/>
  <c r="K110" i="7" s="1"/>
  <c r="K111" i="7" s="1"/>
  <c r="K112" i="7" s="1"/>
  <c r="N109" i="7"/>
  <c r="P109" i="7"/>
  <c r="P110" i="7" s="1"/>
  <c r="P111" i="7" s="1"/>
  <c r="B110" i="7"/>
  <c r="B111" i="7" s="1"/>
  <c r="B112" i="7" s="1"/>
  <c r="B113" i="7" s="1"/>
  <c r="B114" i="7" s="1"/>
  <c r="B115" i="7" s="1"/>
  <c r="G110" i="7"/>
  <c r="J110" i="7"/>
  <c r="J111" i="7" s="1"/>
  <c r="J112" i="7" s="1"/>
  <c r="J113" i="7" s="1"/>
  <c r="J114" i="7" s="1"/>
  <c r="J115" i="7" s="1"/>
  <c r="J116" i="7" s="1"/>
  <c r="J117" i="7" s="1"/>
  <c r="J118" i="7" s="1"/>
  <c r="J119" i="7" s="1"/>
  <c r="J120" i="7" s="1"/>
  <c r="J121" i="7" s="1"/>
  <c r="J122" i="7" s="1"/>
  <c r="J123" i="7" s="1"/>
  <c r="J124" i="7" s="1"/>
  <c r="J125" i="7" s="1"/>
  <c r="N110" i="7"/>
  <c r="Q110" i="7"/>
  <c r="C111" i="7"/>
  <c r="C112" i="7" s="1"/>
  <c r="G111" i="7"/>
  <c r="N111" i="7"/>
  <c r="Q111" i="7"/>
  <c r="G112" i="7"/>
  <c r="N112" i="7"/>
  <c r="D113" i="7"/>
  <c r="D114" i="7" s="1"/>
  <c r="G113" i="7"/>
  <c r="K113" i="7"/>
  <c r="N113" i="7"/>
  <c r="P113" i="7"/>
  <c r="Q113" i="7"/>
  <c r="C114" i="7"/>
  <c r="C115" i="7" s="1"/>
  <c r="G114" i="7"/>
  <c r="K114" i="7"/>
  <c r="N114" i="7"/>
  <c r="P114" i="7"/>
  <c r="P115" i="7" s="1"/>
  <c r="P116" i="7" s="1"/>
  <c r="D115" i="7"/>
  <c r="G115" i="7"/>
  <c r="K115" i="7"/>
  <c r="N115" i="7"/>
  <c r="Q115" i="7"/>
  <c r="Q116" i="7" s="1"/>
  <c r="Q117" i="7" s="1"/>
  <c r="B116" i="7"/>
  <c r="C116" i="7"/>
  <c r="D116" i="7"/>
  <c r="D117" i="7" s="1"/>
  <c r="G116" i="7"/>
  <c r="K116" i="7"/>
  <c r="N116" i="7"/>
  <c r="B117" i="7"/>
  <c r="C117" i="7"/>
  <c r="C118" i="7" s="1"/>
  <c r="G117" i="7"/>
  <c r="K117" i="7"/>
  <c r="K118" i="7" s="1"/>
  <c r="K119" i="7" s="1"/>
  <c r="K120" i="7" s="1"/>
  <c r="K121" i="7" s="1"/>
  <c r="K122" i="7" s="1"/>
  <c r="K123" i="7" s="1"/>
  <c r="N117" i="7"/>
  <c r="B118" i="7"/>
  <c r="G118" i="7"/>
  <c r="N118" i="7"/>
  <c r="B119" i="7"/>
  <c r="D119" i="7"/>
  <c r="G119" i="7"/>
  <c r="N119" i="7"/>
  <c r="P119" i="7"/>
  <c r="Q119" i="7"/>
  <c r="B120" i="7"/>
  <c r="C120" i="7"/>
  <c r="D120" i="7"/>
  <c r="G120" i="7"/>
  <c r="N120" i="7"/>
  <c r="P120" i="7"/>
  <c r="P121" i="7" s="1"/>
  <c r="B121" i="7"/>
  <c r="B122" i="7" s="1"/>
  <c r="C121" i="7"/>
  <c r="D121" i="7"/>
  <c r="G121" i="7"/>
  <c r="N121" i="7"/>
  <c r="Q121" i="7"/>
  <c r="C122" i="7"/>
  <c r="D122" i="7"/>
  <c r="G122" i="7"/>
  <c r="N122" i="7"/>
  <c r="Q122" i="7"/>
  <c r="Q123" i="7" s="1"/>
  <c r="B123" i="7"/>
  <c r="C123" i="7"/>
  <c r="D123" i="7"/>
  <c r="D124" i="7" s="1"/>
  <c r="G123" i="7"/>
  <c r="N123" i="7"/>
  <c r="P123" i="7"/>
  <c r="B124" i="7"/>
  <c r="B125" i="7" s="1"/>
  <c r="C124" i="7"/>
  <c r="C125" i="7" s="1"/>
  <c r="G124" i="7"/>
  <c r="K124" i="7"/>
  <c r="N124" i="7"/>
  <c r="G125" i="7"/>
  <c r="N125" i="7"/>
  <c r="P125" i="7"/>
  <c r="B126" i="7"/>
  <c r="B127" i="7" s="1"/>
  <c r="B128" i="7" s="1"/>
  <c r="D126" i="7"/>
  <c r="G126" i="7"/>
  <c r="K126" i="7"/>
  <c r="N126" i="7"/>
  <c r="P126" i="7"/>
  <c r="Q126" i="7"/>
  <c r="C127" i="7"/>
  <c r="C128" i="7" s="1"/>
  <c r="C129" i="7" s="1"/>
  <c r="D127" i="7"/>
  <c r="G127" i="7"/>
  <c r="J127" i="7"/>
  <c r="K127" i="7"/>
  <c r="K128" i="7" s="1"/>
  <c r="K129" i="7" s="1"/>
  <c r="N127" i="7"/>
  <c r="Q127" i="7"/>
  <c r="D128" i="7"/>
  <c r="G128" i="7"/>
  <c r="J128" i="7"/>
  <c r="N128" i="7"/>
  <c r="P128" i="7"/>
  <c r="Q128" i="7"/>
  <c r="D129" i="7"/>
  <c r="G129" i="7"/>
  <c r="J129" i="7"/>
  <c r="N129" i="7"/>
  <c r="P129" i="7"/>
  <c r="Q129" i="7"/>
  <c r="B130" i="7"/>
  <c r="G130" i="7"/>
  <c r="J130" i="7"/>
  <c r="N130" i="7"/>
  <c r="G131" i="7"/>
  <c r="N131" i="7"/>
  <c r="P131" i="7"/>
  <c r="D132" i="7"/>
  <c r="G132" i="7"/>
  <c r="N132" i="7"/>
  <c r="Q132" i="7"/>
  <c r="Q133" i="7" s="1"/>
  <c r="Q134" i="7" s="1"/>
  <c r="Q135" i="7" s="1"/>
  <c r="C133" i="7"/>
  <c r="D133" i="7"/>
  <c r="G133" i="7"/>
  <c r="N133" i="7"/>
  <c r="P133" i="7"/>
  <c r="P134" i="7" s="1"/>
  <c r="P135" i="7" s="1"/>
  <c r="C134" i="7"/>
  <c r="D134" i="7"/>
  <c r="G134" i="7"/>
  <c r="N134" i="7"/>
  <c r="C135" i="7"/>
  <c r="D135" i="7"/>
  <c r="D136" i="7" s="1"/>
  <c r="G135" i="7"/>
  <c r="N135" i="7"/>
  <c r="B136" i="7"/>
  <c r="C136" i="7"/>
  <c r="G136" i="7"/>
  <c r="N136" i="7"/>
  <c r="B137" i="7"/>
  <c r="C137" i="7" s="1"/>
  <c r="C138" i="7" s="1"/>
  <c r="D137" i="7"/>
  <c r="G137" i="7"/>
  <c r="N137" i="7"/>
  <c r="Q137" i="7"/>
  <c r="B138" i="7"/>
  <c r="G138" i="7"/>
  <c r="N138" i="7"/>
  <c r="P138" i="7"/>
  <c r="Q138" i="7"/>
  <c r="B139" i="7"/>
  <c r="D139" i="7"/>
  <c r="G139" i="7"/>
  <c r="N139" i="7"/>
  <c r="P139" i="7"/>
  <c r="P140" i="7" s="1"/>
  <c r="P141" i="7" s="1"/>
  <c r="Q139" i="7"/>
  <c r="Q140" i="7" s="1"/>
  <c r="Q141" i="7" s="1"/>
  <c r="B140" i="7"/>
  <c r="C140" i="7"/>
  <c r="D140" i="7"/>
  <c r="G140" i="7"/>
  <c r="N140" i="7"/>
  <c r="C141" i="7"/>
  <c r="D141" i="7"/>
  <c r="D142" i="7" s="1"/>
  <c r="D143" i="7" s="1"/>
  <c r="G141" i="7"/>
  <c r="N141" i="7"/>
  <c r="B142" i="7"/>
  <c r="C142" i="7"/>
  <c r="C143" i="7" s="1"/>
  <c r="G142" i="7"/>
  <c r="N142" i="7"/>
  <c r="B143" i="7"/>
  <c r="G143" i="7"/>
  <c r="N143" i="7"/>
  <c r="P143" i="7"/>
  <c r="P144" i="7" s="1"/>
  <c r="Q143" i="7"/>
  <c r="B144" i="7"/>
  <c r="C144" i="7"/>
  <c r="D144" i="7" s="1"/>
  <c r="G144" i="7"/>
  <c r="N144" i="7"/>
  <c r="Q144" i="7"/>
  <c r="B145" i="7"/>
  <c r="B146" i="7" s="1"/>
  <c r="G145" i="7"/>
  <c r="N145" i="7"/>
  <c r="P145" i="7"/>
  <c r="Q145" i="7"/>
  <c r="C146" i="7"/>
  <c r="D146" i="7"/>
  <c r="D147" i="7" s="1"/>
  <c r="D148" i="7" s="1"/>
  <c r="D149" i="7" s="1"/>
  <c r="D150" i="7" s="1"/>
  <c r="G146" i="7"/>
  <c r="K146" i="7"/>
  <c r="N146" i="7"/>
  <c r="P146" i="7"/>
  <c r="P147" i="7" s="1"/>
  <c r="Q146" i="7"/>
  <c r="C147" i="7"/>
  <c r="G147" i="7"/>
  <c r="J147" i="7"/>
  <c r="J148" i="7" s="1"/>
  <c r="J149" i="7" s="1"/>
  <c r="J150" i="7" s="1"/>
  <c r="K147" i="7"/>
  <c r="N147" i="7"/>
  <c r="Q147" i="7"/>
  <c r="B148" i="7"/>
  <c r="C148" i="7"/>
  <c r="G148" i="7"/>
  <c r="K148" i="7"/>
  <c r="N148" i="7"/>
  <c r="B149" i="7"/>
  <c r="C149" i="7"/>
  <c r="G149" i="7"/>
  <c r="K149" i="7"/>
  <c r="N149" i="7"/>
  <c r="B150" i="7"/>
  <c r="C150" i="7"/>
  <c r="G150" i="7"/>
  <c r="K150" i="7"/>
  <c r="N150" i="7"/>
  <c r="B151" i="7"/>
  <c r="C151" i="7"/>
  <c r="G151" i="7"/>
  <c r="J151" i="7"/>
  <c r="K151" i="7" s="1"/>
  <c r="K152" i="7" s="1"/>
  <c r="K153" i="7" s="1"/>
  <c r="K154" i="7" s="1"/>
  <c r="K155" i="7" s="1"/>
  <c r="K156" i="7" s="1"/>
  <c r="K157" i="7" s="1"/>
  <c r="K158" i="7" s="1"/>
  <c r="K159" i="7" s="1"/>
  <c r="K160" i="7" s="1"/>
  <c r="K161" i="7" s="1"/>
  <c r="K162" i="7" s="1"/>
  <c r="K163" i="7" s="1"/>
  <c r="K164" i="7" s="1"/>
  <c r="N151" i="7"/>
  <c r="B152" i="7"/>
  <c r="D152" i="7"/>
  <c r="G152" i="7"/>
  <c r="J152" i="7"/>
  <c r="J153" i="7" s="1"/>
  <c r="J154" i="7" s="1"/>
  <c r="J155" i="7" s="1"/>
  <c r="J156" i="7" s="1"/>
  <c r="J157" i="7" s="1"/>
  <c r="J158" i="7" s="1"/>
  <c r="J159" i="7" s="1"/>
  <c r="J160" i="7" s="1"/>
  <c r="J161" i="7" s="1"/>
  <c r="J162" i="7" s="1"/>
  <c r="J163" i="7" s="1"/>
  <c r="J164" i="7" s="1"/>
  <c r="J165" i="7" s="1"/>
  <c r="N152" i="7"/>
  <c r="C153" i="7"/>
  <c r="D153" i="7"/>
  <c r="D154" i="7" s="1"/>
  <c r="D155" i="7" s="1"/>
  <c r="D156" i="7" s="1"/>
  <c r="G153" i="7"/>
  <c r="N153" i="7"/>
  <c r="B154" i="7"/>
  <c r="C154" i="7"/>
  <c r="G154" i="7"/>
  <c r="N154" i="7"/>
  <c r="B155" i="7"/>
  <c r="B156" i="7" s="1"/>
  <c r="B157" i="7" s="1"/>
  <c r="C155" i="7"/>
  <c r="G155" i="7"/>
  <c r="N155" i="7"/>
  <c r="C156" i="7"/>
  <c r="C157" i="7" s="1"/>
  <c r="G156" i="7"/>
  <c r="N156" i="7"/>
  <c r="D157" i="7"/>
  <c r="G157" i="7"/>
  <c r="N157" i="7"/>
  <c r="B158" i="7"/>
  <c r="G158" i="7"/>
  <c r="N158" i="7"/>
  <c r="C159" i="7"/>
  <c r="D159" i="7"/>
  <c r="G159" i="7"/>
  <c r="N159" i="7"/>
  <c r="B160" i="7"/>
  <c r="B161" i="7" s="1"/>
  <c r="B162" i="7" s="1"/>
  <c r="B163" i="7" s="1"/>
  <c r="C160" i="7"/>
  <c r="D160" i="7"/>
  <c r="G160" i="7"/>
  <c r="N160" i="7"/>
  <c r="C161" i="7"/>
  <c r="C162" i="7" s="1"/>
  <c r="C163" i="7" s="1"/>
  <c r="C164" i="7" s="1"/>
  <c r="D161" i="7"/>
  <c r="G161" i="7"/>
  <c r="N161" i="7"/>
  <c r="D162" i="7"/>
  <c r="D163" i="7" s="1"/>
  <c r="D164" i="7" s="1"/>
  <c r="G162" i="7"/>
  <c r="N162" i="7"/>
  <c r="G163" i="7"/>
  <c r="N163" i="7"/>
  <c r="B164" i="7"/>
  <c r="G164" i="7"/>
  <c r="N164" i="7"/>
  <c r="D165" i="7"/>
  <c r="G165" i="7"/>
  <c r="N165" i="7"/>
  <c r="B166" i="7"/>
  <c r="C166" i="7"/>
  <c r="C167" i="7" s="1"/>
  <c r="C168" i="7" s="1"/>
  <c r="C169" i="7" s="1"/>
  <c r="C170" i="7" s="1"/>
  <c r="C171" i="7" s="1"/>
  <c r="D166" i="7"/>
  <c r="D167" i="7" s="1"/>
  <c r="D168" i="7" s="1"/>
  <c r="D169" i="7" s="1"/>
  <c r="D170" i="7" s="1"/>
  <c r="D171" i="7" s="1"/>
  <c r="G166" i="7"/>
  <c r="K166" i="7"/>
  <c r="N166" i="7"/>
  <c r="B167" i="7"/>
  <c r="G167" i="7"/>
  <c r="J167" i="7"/>
  <c r="K167" i="7"/>
  <c r="N167" i="7"/>
  <c r="B168" i="7"/>
  <c r="B169" i="7" s="1"/>
  <c r="B170" i="7" s="1"/>
  <c r="B171" i="7" s="1"/>
  <c r="G168" i="7"/>
  <c r="J168" i="7"/>
  <c r="J169" i="7" s="1"/>
  <c r="J170" i="7" s="1"/>
  <c r="J171" i="7" s="1"/>
  <c r="K168" i="7"/>
  <c r="N168" i="7"/>
  <c r="G169" i="7"/>
  <c r="K169" i="7"/>
  <c r="K170" i="7" s="1"/>
  <c r="K171" i="7" s="1"/>
  <c r="N169" i="7"/>
  <c r="G170" i="7"/>
  <c r="N170" i="7"/>
  <c r="G171" i="7"/>
  <c r="N171" i="7"/>
  <c r="J172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K186" i="7"/>
  <c r="N186" i="7"/>
  <c r="J187" i="7"/>
  <c r="K187" i="7"/>
  <c r="K188" i="7" s="1"/>
  <c r="K189" i="7" s="1"/>
  <c r="K190" i="7" s="1"/>
  <c r="N187" i="7"/>
  <c r="J188" i="7"/>
  <c r="N188" i="7"/>
  <c r="J189" i="7"/>
  <c r="N189" i="7"/>
  <c r="J190" i="7"/>
  <c r="J191" i="7" s="1"/>
  <c r="J192" i="7" s="1"/>
  <c r="N190" i="7"/>
  <c r="K191" i="7"/>
  <c r="K192" i="7" s="1"/>
  <c r="N191" i="7"/>
  <c r="N192" i="7"/>
  <c r="J193" i="7"/>
  <c r="K193" i="7" s="1"/>
  <c r="K194" i="7" s="1"/>
  <c r="N193" i="7"/>
  <c r="J194" i="7"/>
  <c r="J195" i="7" s="1"/>
  <c r="J196" i="7" s="1"/>
  <c r="J197" i="7" s="1"/>
  <c r="J198" i="7" s="1"/>
  <c r="J199" i="7" s="1"/>
  <c r="J200" i="7" s="1"/>
  <c r="J201" i="7" s="1"/>
  <c r="J202" i="7" s="1"/>
  <c r="J203" i="7" s="1"/>
  <c r="J204" i="7" s="1"/>
  <c r="J205" i="7" s="1"/>
  <c r="N194" i="7"/>
  <c r="K195" i="7"/>
  <c r="K196" i="7" s="1"/>
  <c r="K197" i="7" s="1"/>
  <c r="K198" i="7" s="1"/>
  <c r="N195" i="7"/>
  <c r="N196" i="7"/>
  <c r="N197" i="7"/>
  <c r="N198" i="7"/>
  <c r="K199" i="7"/>
  <c r="K200" i="7" s="1"/>
  <c r="K201" i="7" s="1"/>
  <c r="K202" i="7" s="1"/>
  <c r="K203" i="7" s="1"/>
  <c r="K204" i="7" s="1"/>
  <c r="N199" i="7"/>
  <c r="N200" i="7"/>
  <c r="N201" i="7"/>
  <c r="N202" i="7"/>
  <c r="N203" i="7"/>
  <c r="N204" i="7"/>
  <c r="N205" i="7"/>
  <c r="K206" i="7"/>
  <c r="N206" i="7"/>
  <c r="J207" i="7"/>
  <c r="K207" i="7"/>
  <c r="N207" i="7"/>
  <c r="J208" i="7"/>
  <c r="J209" i="7" s="1"/>
  <c r="J210" i="7" s="1"/>
  <c r="J211" i="7" s="1"/>
  <c r="J212" i="7" s="1"/>
  <c r="J213" i="7" s="1"/>
  <c r="K208" i="7"/>
  <c r="N208" i="7"/>
  <c r="K209" i="7"/>
  <c r="K210" i="7" s="1"/>
  <c r="K211" i="7" s="1"/>
  <c r="K212" i="7" s="1"/>
  <c r="N209" i="7"/>
  <c r="N210" i="7"/>
  <c r="N211" i="7"/>
  <c r="N212" i="7"/>
  <c r="K213" i="7"/>
  <c r="L213" i="7"/>
  <c r="N213" i="7"/>
  <c r="J214" i="7"/>
  <c r="K214" i="7"/>
  <c r="K215" i="7" s="1"/>
  <c r="K216" i="7" s="1"/>
  <c r="K217" i="7" s="1"/>
  <c r="N214" i="7"/>
  <c r="J215" i="7"/>
  <c r="N215" i="7"/>
  <c r="J216" i="7"/>
  <c r="N216" i="7"/>
  <c r="J217" i="7"/>
  <c r="J218" i="7" s="1"/>
  <c r="J219" i="7" s="1"/>
  <c r="J220" i="7" s="1"/>
  <c r="N217" i="7"/>
  <c r="K218" i="7"/>
  <c r="K219" i="7" s="1"/>
  <c r="K220" i="7" s="1"/>
  <c r="K221" i="7" s="1"/>
  <c r="K222" i="7" s="1"/>
  <c r="K223" i="7" s="1"/>
  <c r="K224" i="7" s="1"/>
  <c r="N218" i="7"/>
  <c r="N219" i="7"/>
  <c r="N220" i="7"/>
  <c r="J221" i="7"/>
  <c r="J222" i="7" s="1"/>
  <c r="J223" i="7" s="1"/>
  <c r="J224" i="7" s="1"/>
  <c r="J225" i="7" s="1"/>
  <c r="N221" i="7"/>
  <c r="N222" i="7"/>
  <c r="N223" i="7"/>
  <c r="N224" i="7"/>
  <c r="N225" i="7"/>
  <c r="K226" i="7"/>
  <c r="N226" i="7"/>
  <c r="J227" i="7"/>
  <c r="J228" i="7" s="1"/>
  <c r="J229" i="7" s="1"/>
  <c r="J230" i="7" s="1"/>
  <c r="K227" i="7"/>
  <c r="N227" i="7"/>
  <c r="K228" i="7"/>
  <c r="K229" i="7" s="1"/>
  <c r="K230" i="7" s="1"/>
  <c r="K231" i="7" s="1"/>
  <c r="K232" i="7" s="1"/>
  <c r="K233" i="7" s="1"/>
  <c r="K234" i="7" s="1"/>
  <c r="N228" i="7"/>
  <c r="N229" i="7"/>
  <c r="N230" i="7"/>
  <c r="J231" i="7"/>
  <c r="J232" i="7" s="1"/>
  <c r="J233" i="7" s="1"/>
  <c r="J234" i="7" s="1"/>
  <c r="N231" i="7"/>
  <c r="N232" i="7"/>
  <c r="N233" i="7"/>
  <c r="N234" i="7"/>
  <c r="J235" i="7"/>
  <c r="N235" i="7"/>
  <c r="N236" i="7"/>
  <c r="N237" i="7"/>
  <c r="N238" i="7"/>
  <c r="N239" i="7"/>
  <c r="N240" i="7"/>
  <c r="N241" i="7"/>
  <c r="N242" i="7"/>
  <c r="N243" i="7"/>
  <c r="N244" i="7"/>
  <c r="N245" i="7"/>
  <c r="K246" i="7"/>
  <c r="K247" i="7" s="1"/>
  <c r="K248" i="7" s="1"/>
  <c r="K249" i="7" s="1"/>
  <c r="N246" i="7"/>
  <c r="J247" i="7"/>
  <c r="N247" i="7"/>
  <c r="J248" i="7"/>
  <c r="N248" i="7"/>
  <c r="J249" i="7"/>
  <c r="J250" i="7" s="1"/>
  <c r="J251" i="7" s="1"/>
  <c r="J252" i="7" s="1"/>
  <c r="N249" i="7"/>
  <c r="K250" i="7"/>
  <c r="K251" i="7" s="1"/>
  <c r="K252" i="7" s="1"/>
  <c r="K253" i="7" s="1"/>
  <c r="K254" i="7" s="1"/>
  <c r="K255" i="7" s="1"/>
  <c r="N250" i="7"/>
  <c r="N251" i="7"/>
  <c r="N252" i="7"/>
  <c r="J253" i="7"/>
  <c r="J254" i="7" s="1"/>
  <c r="J255" i="7" s="1"/>
  <c r="N253" i="7"/>
  <c r="N254" i="7"/>
  <c r="N255" i="7"/>
  <c r="J256" i="7"/>
  <c r="K256" i="7" s="1"/>
  <c r="K257" i="7" s="1"/>
  <c r="K258" i="7" s="1"/>
  <c r="K259" i="7" s="1"/>
  <c r="K260" i="7" s="1"/>
  <c r="K261" i="7" s="1"/>
  <c r="K262" i="7" s="1"/>
  <c r="K263" i="7" s="1"/>
  <c r="K264" i="7" s="1"/>
  <c r="N256" i="7"/>
  <c r="J257" i="7"/>
  <c r="J258" i="7" s="1"/>
  <c r="J259" i="7" s="1"/>
  <c r="J260" i="7" s="1"/>
  <c r="N257" i="7"/>
  <c r="N258" i="7"/>
  <c r="N259" i="7"/>
  <c r="N260" i="7"/>
  <c r="J261" i="7"/>
  <c r="J262" i="7" s="1"/>
  <c r="J263" i="7" s="1"/>
  <c r="J264" i="7" s="1"/>
  <c r="J265" i="7" s="1"/>
  <c r="N261" i="7"/>
  <c r="N262" i="7"/>
  <c r="N263" i="7"/>
  <c r="N264" i="7"/>
  <c r="N265" i="7"/>
  <c r="K266" i="7"/>
  <c r="N266" i="7"/>
  <c r="J267" i="7"/>
  <c r="J268" i="7" s="1"/>
  <c r="J269" i="7" s="1"/>
  <c r="J270" i="7" s="1"/>
  <c r="J271" i="7" s="1"/>
  <c r="J272" i="7" s="1"/>
  <c r="J273" i="7" s="1"/>
  <c r="J274" i="7" s="1"/>
  <c r="J275" i="7" s="1"/>
  <c r="J276" i="7" s="1"/>
  <c r="K267" i="7"/>
  <c r="N267" i="7"/>
  <c r="K268" i="7"/>
  <c r="K269" i="7" s="1"/>
  <c r="K270" i="7" s="1"/>
  <c r="K271" i="7" s="1"/>
  <c r="N268" i="7"/>
  <c r="N269" i="7"/>
  <c r="N270" i="7"/>
  <c r="N271" i="7"/>
  <c r="K272" i="7"/>
  <c r="K273" i="7" s="1"/>
  <c r="K274" i="7" s="1"/>
  <c r="K275" i="7" s="1"/>
  <c r="K276" i="7" s="1"/>
  <c r="N272" i="7"/>
  <c r="N273" i="7"/>
  <c r="N274" i="7"/>
  <c r="N275" i="7"/>
  <c r="N276" i="7"/>
  <c r="J277" i="7"/>
  <c r="J278" i="7" s="1"/>
  <c r="K277" i="7"/>
  <c r="K278" i="7" s="1"/>
  <c r="K279" i="7" s="1"/>
  <c r="K280" i="7" s="1"/>
  <c r="K281" i="7" s="1"/>
  <c r="K282" i="7" s="1"/>
  <c r="K283" i="7" s="1"/>
  <c r="K284" i="7" s="1"/>
  <c r="N277" i="7"/>
  <c r="N278" i="7"/>
  <c r="J279" i="7"/>
  <c r="J280" i="7" s="1"/>
  <c r="J281" i="7" s="1"/>
  <c r="J282" i="7" s="1"/>
  <c r="J283" i="7" s="1"/>
  <c r="J284" i="7" s="1"/>
  <c r="J285" i="7" s="1"/>
  <c r="N279" i="7"/>
  <c r="N280" i="7"/>
  <c r="N281" i="7"/>
  <c r="N282" i="7"/>
  <c r="N283" i="7"/>
  <c r="N284" i="7"/>
  <c r="N285" i="7"/>
  <c r="K286" i="7"/>
  <c r="K287" i="7" s="1"/>
  <c r="K288" i="7" s="1"/>
  <c r="K289" i="7" s="1"/>
  <c r="N286" i="7"/>
  <c r="J287" i="7"/>
  <c r="N287" i="7"/>
  <c r="J288" i="7"/>
  <c r="N288" i="7"/>
  <c r="J289" i="7"/>
  <c r="J290" i="7" s="1"/>
  <c r="J291" i="7" s="1"/>
  <c r="J292" i="7" s="1"/>
  <c r="J293" i="7" s="1"/>
  <c r="J294" i="7" s="1"/>
  <c r="J295" i="7" s="1"/>
  <c r="J296" i="7" s="1"/>
  <c r="J297" i="7" s="1"/>
  <c r="N289" i="7"/>
  <c r="K290" i="7"/>
  <c r="K291" i="7" s="1"/>
  <c r="K292" i="7" s="1"/>
  <c r="K293" i="7" s="1"/>
  <c r="K294" i="7" s="1"/>
  <c r="K295" i="7" s="1"/>
  <c r="K296" i="7" s="1"/>
  <c r="K297" i="7" s="1"/>
  <c r="N290" i="7"/>
  <c r="L291" i="7"/>
  <c r="N291" i="7" s="1"/>
  <c r="N292" i="7"/>
  <c r="N293" i="7"/>
  <c r="N294" i="7"/>
  <c r="N295" i="7"/>
  <c r="N296" i="7"/>
  <c r="N297" i="7"/>
  <c r="J298" i="7"/>
  <c r="N298" i="7"/>
  <c r="N299" i="7"/>
  <c r="N300" i="7"/>
  <c r="N301" i="7"/>
  <c r="N302" i="7"/>
  <c r="N303" i="7"/>
  <c r="N304" i="7"/>
  <c r="N305" i="7"/>
  <c r="K306" i="7"/>
  <c r="N306" i="7"/>
  <c r="J307" i="7"/>
  <c r="K307" i="7"/>
  <c r="K308" i="7" s="1"/>
  <c r="K309" i="7" s="1"/>
  <c r="K310" i="7" s="1"/>
  <c r="K311" i="7" s="1"/>
  <c r="K312" i="7" s="1"/>
  <c r="K313" i="7" s="1"/>
  <c r="K314" i="7" s="1"/>
  <c r="K315" i="7" s="1"/>
  <c r="K316" i="7" s="1"/>
  <c r="K317" i="7" s="1"/>
  <c r="K318" i="7" s="1"/>
  <c r="N307" i="7"/>
  <c r="J308" i="7"/>
  <c r="J309" i="7" s="1"/>
  <c r="J310" i="7" s="1"/>
  <c r="J311" i="7" s="1"/>
  <c r="J312" i="7" s="1"/>
  <c r="J313" i="7" s="1"/>
  <c r="J314" i="7" s="1"/>
  <c r="J315" i="7" s="1"/>
  <c r="J316" i="7" s="1"/>
  <c r="J317" i="7" s="1"/>
  <c r="J318" i="7" s="1"/>
  <c r="N308" i="7"/>
  <c r="N309" i="7"/>
  <c r="N310" i="7"/>
  <c r="N311" i="7"/>
  <c r="N312" i="7"/>
  <c r="N313" i="7"/>
  <c r="N314" i="7"/>
  <c r="N315" i="7"/>
  <c r="N316" i="7"/>
  <c r="N317" i="7"/>
  <c r="N318" i="7"/>
  <c r="J319" i="7"/>
  <c r="K319" i="7"/>
  <c r="K320" i="7" s="1"/>
  <c r="K321" i="7" s="1"/>
  <c r="K322" i="7" s="1"/>
  <c r="K323" i="7" s="1"/>
  <c r="K324" i="7" s="1"/>
  <c r="N319" i="7"/>
  <c r="J320" i="7"/>
  <c r="J321" i="7" s="1"/>
  <c r="J322" i="7" s="1"/>
  <c r="J323" i="7" s="1"/>
  <c r="J324" i="7" s="1"/>
  <c r="J325" i="7" s="1"/>
  <c r="N320" i="7"/>
  <c r="N321" i="7"/>
  <c r="N322" i="7"/>
  <c r="N323" i="7"/>
  <c r="N324" i="7"/>
  <c r="N325" i="7"/>
  <c r="K326" i="7"/>
  <c r="N326" i="7"/>
  <c r="J327" i="7"/>
  <c r="K327" i="7"/>
  <c r="K328" i="7" s="1"/>
  <c r="K329" i="7" s="1"/>
  <c r="K330" i="7" s="1"/>
  <c r="K331" i="7" s="1"/>
  <c r="K332" i="7" s="1"/>
  <c r="K333" i="7" s="1"/>
  <c r="K334" i="7" s="1"/>
  <c r="K335" i="7" s="1"/>
  <c r="K336" i="7" s="1"/>
  <c r="K337" i="7" s="1"/>
  <c r="K338" i="7" s="1"/>
  <c r="K339" i="7" s="1"/>
  <c r="N327" i="7"/>
  <c r="J328" i="7"/>
  <c r="J329" i="7" s="1"/>
  <c r="J330" i="7" s="1"/>
  <c r="J331" i="7" s="1"/>
  <c r="J332" i="7" s="1"/>
  <c r="J333" i="7" s="1"/>
  <c r="J334" i="7" s="1"/>
  <c r="J335" i="7" s="1"/>
  <c r="J336" i="7" s="1"/>
  <c r="J337" i="7" s="1"/>
  <c r="J338" i="7" s="1"/>
  <c r="J339" i="7" s="1"/>
  <c r="N328" i="7"/>
  <c r="N329" i="7"/>
  <c r="L330" i="7"/>
  <c r="N330" i="7" s="1"/>
  <c r="N331" i="7"/>
  <c r="N332" i="7"/>
  <c r="N333" i="7"/>
  <c r="N334" i="7"/>
  <c r="N335" i="7"/>
  <c r="N336" i="7"/>
  <c r="N337" i="7"/>
  <c r="N338" i="7"/>
  <c r="N339" i="7"/>
  <c r="J340" i="7"/>
  <c r="K340" i="7"/>
  <c r="K341" i="7" s="1"/>
  <c r="K342" i="7" s="1"/>
  <c r="K343" i="7" s="1"/>
  <c r="K344" i="7" s="1"/>
  <c r="N340" i="7"/>
  <c r="J341" i="7"/>
  <c r="J342" i="7" s="1"/>
  <c r="J343" i="7" s="1"/>
  <c r="J344" i="7" s="1"/>
  <c r="J345" i="7" s="1"/>
  <c r="N341" i="7"/>
  <c r="N342" i="7"/>
  <c r="N343" i="7"/>
  <c r="N344" i="7"/>
  <c r="N345" i="7"/>
  <c r="K346" i="7"/>
  <c r="K347" i="7" s="1"/>
  <c r="K348" i="7" s="1"/>
  <c r="K349" i="7" s="1"/>
  <c r="K350" i="7" s="1"/>
  <c r="K351" i="7" s="1"/>
  <c r="K352" i="7" s="1"/>
  <c r="K353" i="7" s="1"/>
  <c r="K354" i="7" s="1"/>
  <c r="K355" i="7" s="1"/>
  <c r="K356" i="7" s="1"/>
  <c r="K357" i="7" s="1"/>
  <c r="K358" i="7" s="1"/>
  <c r="K359" i="7" s="1"/>
  <c r="K360" i="7" s="1"/>
  <c r="N346" i="7"/>
  <c r="J347" i="7"/>
  <c r="J348" i="7" s="1"/>
  <c r="J349" i="7" s="1"/>
  <c r="J350" i="7" s="1"/>
  <c r="J351" i="7" s="1"/>
  <c r="J352" i="7" s="1"/>
  <c r="J353" i="7" s="1"/>
  <c r="J354" i="7" s="1"/>
  <c r="J355" i="7" s="1"/>
  <c r="J356" i="7" s="1"/>
  <c r="J357" i="7" s="1"/>
  <c r="J358" i="7" s="1"/>
  <c r="J359" i="7" s="1"/>
  <c r="J360" i="7" s="1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J361" i="7"/>
  <c r="K361" i="7" s="1"/>
  <c r="K362" i="7" s="1"/>
  <c r="K363" i="7" s="1"/>
  <c r="K364" i="7" s="1"/>
  <c r="N361" i="7"/>
  <c r="N362" i="7"/>
  <c r="N363" i="7"/>
  <c r="N364" i="7"/>
  <c r="N365" i="7"/>
  <c r="K366" i="7"/>
  <c r="K367" i="7" s="1"/>
  <c r="K368" i="7" s="1"/>
  <c r="K369" i="7" s="1"/>
  <c r="K370" i="7" s="1"/>
  <c r="K371" i="7" s="1"/>
  <c r="K372" i="7" s="1"/>
  <c r="K373" i="7" s="1"/>
  <c r="K374" i="7" s="1"/>
  <c r="K375" i="7" s="1"/>
  <c r="K376" i="7" s="1"/>
  <c r="K377" i="7" s="1"/>
  <c r="K378" i="7" s="1"/>
  <c r="K379" i="7" s="1"/>
  <c r="K380" i="7" s="1"/>
  <c r="K381" i="7" s="1"/>
  <c r="N366" i="7"/>
  <c r="J367" i="7"/>
  <c r="J368" i="7" s="1"/>
  <c r="J369" i="7" s="1"/>
  <c r="J370" i="7" s="1"/>
  <c r="J371" i="7" s="1"/>
  <c r="J372" i="7" s="1"/>
  <c r="J373" i="7" s="1"/>
  <c r="J374" i="7" s="1"/>
  <c r="J375" i="7" s="1"/>
  <c r="J376" i="7" s="1"/>
  <c r="J377" i="7" s="1"/>
  <c r="J378" i="7" s="1"/>
  <c r="J379" i="7" s="1"/>
  <c r="J380" i="7" s="1"/>
  <c r="J381" i="7" s="1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J382" i="7"/>
  <c r="K382" i="7"/>
  <c r="K383" i="7" s="1"/>
  <c r="K384" i="7" s="1"/>
  <c r="N382" i="7"/>
  <c r="J383" i="7"/>
  <c r="J384" i="7" s="1"/>
  <c r="J385" i="7" s="1"/>
  <c r="N383" i="7"/>
  <c r="N384" i="7"/>
  <c r="N385" i="7"/>
  <c r="K386" i="7"/>
  <c r="K387" i="7" s="1"/>
  <c r="K388" i="7" s="1"/>
  <c r="K389" i="7" s="1"/>
  <c r="K390" i="7" s="1"/>
  <c r="K391" i="7" s="1"/>
  <c r="K392" i="7" s="1"/>
  <c r="K393" i="7" s="1"/>
  <c r="K394" i="7" s="1"/>
  <c r="K395" i="7" s="1"/>
  <c r="K396" i="7" s="1"/>
  <c r="K397" i="7" s="1"/>
  <c r="K398" i="7" s="1"/>
  <c r="K399" i="7" s="1"/>
  <c r="K400" i="7" s="1"/>
  <c r="K401" i="7" s="1"/>
  <c r="K402" i="7" s="1"/>
  <c r="N386" i="7"/>
  <c r="J387" i="7"/>
  <c r="J388" i="7" s="1"/>
  <c r="J389" i="7" s="1"/>
  <c r="J390" i="7" s="1"/>
  <c r="J391" i="7" s="1"/>
  <c r="J392" i="7" s="1"/>
  <c r="J393" i="7" s="1"/>
  <c r="J394" i="7" s="1"/>
  <c r="J395" i="7" s="1"/>
  <c r="J396" i="7" s="1"/>
  <c r="J397" i="7" s="1"/>
  <c r="J398" i="7" s="1"/>
  <c r="J399" i="7" s="1"/>
  <c r="J400" i="7" s="1"/>
  <c r="J401" i="7" s="1"/>
  <c r="J402" i="7" s="1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J403" i="7"/>
  <c r="J404" i="7" s="1"/>
  <c r="J405" i="7" s="1"/>
  <c r="N403" i="7"/>
  <c r="N404" i="7"/>
  <c r="N405" i="7"/>
  <c r="K406" i="7"/>
  <c r="K407" i="7" s="1"/>
  <c r="K408" i="7" s="1"/>
  <c r="K409" i="7" s="1"/>
  <c r="K410" i="7" s="1"/>
  <c r="K411" i="7" s="1"/>
  <c r="K412" i="7" s="1"/>
  <c r="K413" i="7" s="1"/>
  <c r="K414" i="7" s="1"/>
  <c r="K415" i="7" s="1"/>
  <c r="K416" i="7" s="1"/>
  <c r="K417" i="7" s="1"/>
  <c r="K418" i="7" s="1"/>
  <c r="K419" i="7" s="1"/>
  <c r="K420" i="7" s="1"/>
  <c r="K421" i="7" s="1"/>
  <c r="K422" i="7" s="1"/>
  <c r="K423" i="7" s="1"/>
  <c r="N406" i="7"/>
  <c r="J407" i="7"/>
  <c r="J408" i="7" s="1"/>
  <c r="J409" i="7" s="1"/>
  <c r="J410" i="7" s="1"/>
  <c r="J411" i="7" s="1"/>
  <c r="J412" i="7" s="1"/>
  <c r="J413" i="7" s="1"/>
  <c r="J414" i="7" s="1"/>
  <c r="J415" i="7" s="1"/>
  <c r="J416" i="7" s="1"/>
  <c r="J417" i="7" s="1"/>
  <c r="J418" i="7" s="1"/>
  <c r="J419" i="7" s="1"/>
  <c r="J420" i="7" s="1"/>
  <c r="J421" i="7" s="1"/>
  <c r="J422" i="7" s="1"/>
  <c r="J423" i="7" s="1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J424" i="7"/>
  <c r="K424" i="7"/>
  <c r="N424" i="7"/>
  <c r="J425" i="7"/>
  <c r="N425" i="7"/>
  <c r="K426" i="7"/>
  <c r="K427" i="7" s="1"/>
  <c r="K428" i="7" s="1"/>
  <c r="K429" i="7" s="1"/>
  <c r="K430" i="7" s="1"/>
  <c r="K431" i="7" s="1"/>
  <c r="K432" i="7" s="1"/>
  <c r="K433" i="7" s="1"/>
  <c r="K434" i="7" s="1"/>
  <c r="K435" i="7" s="1"/>
  <c r="K436" i="7" s="1"/>
  <c r="K437" i="7" s="1"/>
  <c r="K438" i="7" s="1"/>
  <c r="K439" i="7" s="1"/>
  <c r="K440" i="7" s="1"/>
  <c r="K441" i="7" s="1"/>
  <c r="K442" i="7" s="1"/>
  <c r="K443" i="7" s="1"/>
  <c r="K444" i="7" s="1"/>
  <c r="N426" i="7"/>
  <c r="J427" i="7"/>
  <c r="J428" i="7" s="1"/>
  <c r="J429" i="7" s="1"/>
  <c r="J430" i="7" s="1"/>
  <c r="J431" i="7" s="1"/>
  <c r="J432" i="7" s="1"/>
  <c r="J433" i="7" s="1"/>
  <c r="J434" i="7" s="1"/>
  <c r="J435" i="7" s="1"/>
  <c r="J436" i="7" s="1"/>
  <c r="J437" i="7" s="1"/>
  <c r="J438" i="7" s="1"/>
  <c r="J439" i="7" s="1"/>
  <c r="J440" i="7" s="1"/>
  <c r="J441" i="7" s="1"/>
  <c r="J442" i="7" s="1"/>
  <c r="J443" i="7" s="1"/>
  <c r="J444" i="7" s="1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J445" i="7"/>
  <c r="N445" i="7"/>
  <c r="K446" i="7"/>
  <c r="K447" i="7" s="1"/>
  <c r="K448" i="7" s="1"/>
  <c r="K449" i="7" s="1"/>
  <c r="K450" i="7" s="1"/>
  <c r="K451" i="7" s="1"/>
  <c r="K452" i="7" s="1"/>
  <c r="K453" i="7" s="1"/>
  <c r="K454" i="7" s="1"/>
  <c r="K455" i="7" s="1"/>
  <c r="K456" i="7" s="1"/>
  <c r="K457" i="7" s="1"/>
  <c r="K458" i="7" s="1"/>
  <c r="K459" i="7" s="1"/>
  <c r="K460" i="7" s="1"/>
  <c r="K461" i="7" s="1"/>
  <c r="K462" i="7" s="1"/>
  <c r="K463" i="7" s="1"/>
  <c r="K464" i="7" s="1"/>
  <c r="K465" i="7" s="1"/>
  <c r="N446" i="7"/>
  <c r="J447" i="7"/>
  <c r="J448" i="7" s="1"/>
  <c r="J449" i="7" s="1"/>
  <c r="J450" i="7" s="1"/>
  <c r="J451" i="7" s="1"/>
  <c r="J452" i="7" s="1"/>
  <c r="J453" i="7" s="1"/>
  <c r="J454" i="7" s="1"/>
  <c r="J455" i="7" s="1"/>
  <c r="J456" i="7" s="1"/>
  <c r="J457" i="7" s="1"/>
  <c r="J458" i="7" s="1"/>
  <c r="J459" i="7" s="1"/>
  <c r="J460" i="7" s="1"/>
  <c r="J461" i="7" s="1"/>
  <c r="J462" i="7" s="1"/>
  <c r="J463" i="7" s="1"/>
  <c r="J464" i="7" s="1"/>
  <c r="J465" i="7" s="1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J467" i="7"/>
  <c r="J468" i="7" s="1"/>
  <c r="J469" i="7" s="1"/>
  <c r="J470" i="7" s="1"/>
  <c r="J471" i="7" s="1"/>
  <c r="J472" i="7" s="1"/>
  <c r="J473" i="7" s="1"/>
  <c r="J474" i="7" s="1"/>
  <c r="J475" i="7" s="1"/>
  <c r="J476" i="7" s="1"/>
  <c r="J477" i="7" s="1"/>
  <c r="J478" i="7" s="1"/>
  <c r="J479" i="7" s="1"/>
  <c r="J480" i="7" s="1"/>
  <c r="J481" i="7" s="1"/>
  <c r="J482" i="7" s="1"/>
  <c r="J483" i="7" s="1"/>
  <c r="J484" i="7" s="1"/>
  <c r="J485" i="7" s="1"/>
  <c r="J486" i="7" s="1"/>
  <c r="K467" i="7"/>
  <c r="N467" i="7"/>
  <c r="K468" i="7"/>
  <c r="K469" i="7" s="1"/>
  <c r="K470" i="7" s="1"/>
  <c r="K471" i="7" s="1"/>
  <c r="K472" i="7" s="1"/>
  <c r="K473" i="7" s="1"/>
  <c r="K474" i="7" s="1"/>
  <c r="K475" i="7" s="1"/>
  <c r="K476" i="7" s="1"/>
  <c r="K477" i="7" s="1"/>
  <c r="K478" i="7" s="1"/>
  <c r="K479" i="7" s="1"/>
  <c r="K480" i="7" s="1"/>
  <c r="K481" i="7" s="1"/>
  <c r="K482" i="7" s="1"/>
  <c r="K483" i="7" s="1"/>
  <c r="K484" i="7" s="1"/>
  <c r="K485" i="7" s="1"/>
  <c r="K486" i="7" s="1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J487" i="7"/>
  <c r="J488" i="7" s="1"/>
  <c r="J489" i="7" s="1"/>
  <c r="J490" i="7" s="1"/>
  <c r="J491" i="7" s="1"/>
  <c r="J492" i="7" s="1"/>
  <c r="J493" i="7" s="1"/>
  <c r="J494" i="7" s="1"/>
  <c r="J495" i="7" s="1"/>
  <c r="J496" i="7" s="1"/>
  <c r="J497" i="7" s="1"/>
  <c r="J498" i="7" s="1"/>
  <c r="J499" i="7" s="1"/>
  <c r="J500" i="7" s="1"/>
  <c r="J501" i="7" s="1"/>
  <c r="J502" i="7" s="1"/>
  <c r="J503" i="7" s="1"/>
  <c r="J504" i="7" s="1"/>
  <c r="J505" i="7" s="1"/>
  <c r="J506" i="7" s="1"/>
  <c r="J507" i="7" s="1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L371" i="3"/>
  <c r="D53" i="2" l="1"/>
  <c r="D54" i="2" s="1"/>
  <c r="D55" i="2" s="1"/>
  <c r="D56" i="2" s="1"/>
  <c r="D57" i="2" s="1"/>
  <c r="C123" i="2"/>
  <c r="D123" i="2" s="1"/>
  <c r="D124" i="2" s="1"/>
  <c r="C4" i="2"/>
  <c r="C5" i="2" s="1"/>
  <c r="C6" i="2" s="1"/>
  <c r="C7" i="2" s="1"/>
  <c r="C8" i="2" s="1"/>
  <c r="C9" i="2" s="1"/>
  <c r="C10" i="2" s="1"/>
  <c r="K151" i="2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361" i="2"/>
  <c r="K362" i="2" s="1"/>
  <c r="K363" i="2" s="1"/>
  <c r="K364" i="2" s="1"/>
  <c r="C137" i="2"/>
  <c r="C138" i="2" s="1"/>
  <c r="C32" i="2"/>
  <c r="C33" i="2" s="1"/>
  <c r="C34" i="2" s="1"/>
  <c r="C35" i="2" s="1"/>
  <c r="C36" i="2" s="1"/>
  <c r="C37" i="2" s="1"/>
  <c r="C38" i="2" s="1"/>
  <c r="J278" i="2"/>
  <c r="J279" i="2" s="1"/>
  <c r="J280" i="2" s="1"/>
  <c r="J281" i="2" s="1"/>
  <c r="J282" i="2" s="1"/>
  <c r="J283" i="2" s="1"/>
  <c r="J284" i="2" s="1"/>
  <c r="J285" i="2" s="1"/>
  <c r="C18" i="2"/>
  <c r="C25" i="2"/>
  <c r="D25" i="2" s="1"/>
  <c r="D26" i="2" s="1"/>
  <c r="D27" i="2" s="1"/>
  <c r="D28" i="2" s="1"/>
  <c r="D29" i="2" s="1"/>
  <c r="D30" i="2" s="1"/>
  <c r="D32" i="2"/>
  <c r="D33" i="2" s="1"/>
  <c r="D34" i="2" s="1"/>
  <c r="D35" i="2" s="1"/>
  <c r="D36" i="2" s="1"/>
  <c r="D37" i="2" s="1"/>
  <c r="C74" i="2"/>
  <c r="C102" i="2"/>
  <c r="C109" i="2"/>
  <c r="C144" i="2"/>
  <c r="D144" i="2" s="1"/>
  <c r="K172" i="2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J257" i="2"/>
  <c r="J258" i="2" s="1"/>
  <c r="J259" i="2" s="1"/>
  <c r="J260" i="2" s="1"/>
  <c r="J261" i="2" s="1"/>
  <c r="J262" i="2" s="1"/>
  <c r="J263" i="2" s="1"/>
  <c r="J264" i="2" s="1"/>
  <c r="J265" i="2" s="1"/>
  <c r="J488" i="2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D4" i="2"/>
  <c r="D5" i="2" s="1"/>
  <c r="D6" i="2" s="1"/>
  <c r="D7" i="2" s="1"/>
  <c r="D8" i="2" s="1"/>
  <c r="D9" i="2" s="1"/>
  <c r="D10" i="2" s="1"/>
  <c r="C46" i="2"/>
  <c r="C67" i="2"/>
  <c r="C95" i="2"/>
  <c r="K109" i="2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C116" i="2"/>
  <c r="D137" i="2"/>
  <c r="J194" i="2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K214" i="2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J299" i="2"/>
  <c r="J300" i="2" s="1"/>
  <c r="J301" i="2" s="1"/>
  <c r="J302" i="2" s="1"/>
  <c r="J303" i="2" s="1"/>
  <c r="J304" i="2" s="1"/>
  <c r="J305" i="2" s="1"/>
  <c r="J341" i="2"/>
  <c r="J342" i="2" s="1"/>
  <c r="J343" i="2" s="1"/>
  <c r="J344" i="2" s="1"/>
  <c r="J345" i="2" s="1"/>
  <c r="J425" i="2"/>
  <c r="K235" i="2"/>
  <c r="K236" i="2" s="1"/>
  <c r="K237" i="2" s="1"/>
  <c r="K238" i="2" s="1"/>
  <c r="K239" i="2" s="1"/>
  <c r="K240" i="2" s="1"/>
  <c r="K241" i="2" s="1"/>
  <c r="K242" i="2" s="1"/>
  <c r="K243" i="2" s="1"/>
  <c r="K244" i="2" s="1"/>
  <c r="J236" i="2"/>
  <c r="J237" i="2" s="1"/>
  <c r="J238" i="2" s="1"/>
  <c r="J239" i="2" s="1"/>
  <c r="J240" i="2" s="1"/>
  <c r="J241" i="2" s="1"/>
  <c r="J242" i="2" s="1"/>
  <c r="J243" i="2" s="1"/>
  <c r="J244" i="2" s="1"/>
  <c r="J245" i="2" s="1"/>
  <c r="C11" i="2"/>
  <c r="C61" i="2"/>
  <c r="C62" i="2" s="1"/>
  <c r="C63" i="2" s="1"/>
  <c r="C64" i="2" s="1"/>
  <c r="C65" i="2" s="1"/>
  <c r="C66" i="2" s="1"/>
  <c r="K88" i="2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B152" i="2"/>
  <c r="C151" i="2"/>
  <c r="C39" i="2"/>
  <c r="B89" i="2"/>
  <c r="B90" i="2" s="1"/>
  <c r="B91" i="2" s="1"/>
  <c r="B92" i="2" s="1"/>
  <c r="B93" i="2" s="1"/>
  <c r="B94" i="2" s="1"/>
  <c r="C88" i="2"/>
  <c r="B131" i="2"/>
  <c r="B132" i="2" s="1"/>
  <c r="B133" i="2" s="1"/>
  <c r="B134" i="2" s="1"/>
  <c r="C130" i="2"/>
  <c r="K403" i="2"/>
  <c r="K404" i="2" s="1"/>
  <c r="J404" i="2"/>
  <c r="J405" i="2" s="1"/>
  <c r="K130" i="2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C26" i="2"/>
  <c r="C27" i="2" s="1"/>
  <c r="C28" i="2" s="1"/>
  <c r="C29" i="2" s="1"/>
  <c r="C30" i="2" s="1"/>
  <c r="C31" i="2" s="1"/>
  <c r="C81" i="2"/>
  <c r="B82" i="2"/>
  <c r="B83" i="2" s="1"/>
  <c r="B84" i="2" s="1"/>
  <c r="B85" i="2" s="1"/>
  <c r="B86" i="2" s="1"/>
  <c r="B87" i="2" s="1"/>
  <c r="C124" i="2"/>
  <c r="C125" i="2" s="1"/>
  <c r="C96" i="2"/>
  <c r="C97" i="2" s="1"/>
  <c r="C98" i="2" s="1"/>
  <c r="C99" i="2" s="1"/>
  <c r="D95" i="2"/>
  <c r="D96" i="2" s="1"/>
  <c r="D97" i="2" s="1"/>
  <c r="K319" i="2"/>
  <c r="K320" i="2" s="1"/>
  <c r="K321" i="2" s="1"/>
  <c r="K322" i="2" s="1"/>
  <c r="K323" i="2" s="1"/>
  <c r="K324" i="2" s="1"/>
  <c r="K382" i="2"/>
  <c r="K383" i="2" s="1"/>
  <c r="K384" i="2" s="1"/>
  <c r="K487" i="7"/>
  <c r="K488" i="7" s="1"/>
  <c r="K489" i="7" s="1"/>
  <c r="K490" i="7" s="1"/>
  <c r="K491" i="7" s="1"/>
  <c r="K492" i="7" s="1"/>
  <c r="K493" i="7" s="1"/>
  <c r="K494" i="7" s="1"/>
  <c r="K495" i="7" s="1"/>
  <c r="K496" i="7" s="1"/>
  <c r="K497" i="7" s="1"/>
  <c r="K498" i="7" s="1"/>
  <c r="K499" i="7" s="1"/>
  <c r="K500" i="7" s="1"/>
  <c r="K501" i="7" s="1"/>
  <c r="K502" i="7" s="1"/>
  <c r="K503" i="7" s="1"/>
  <c r="K504" i="7" s="1"/>
  <c r="K505" i="7" s="1"/>
  <c r="K506" i="7" s="1"/>
  <c r="K507" i="7" s="1"/>
  <c r="K403" i="7"/>
  <c r="K404" i="7" s="1"/>
  <c r="J362" i="7"/>
  <c r="J363" i="7" s="1"/>
  <c r="J364" i="7" s="1"/>
  <c r="J365" i="7" s="1"/>
  <c r="K235" i="7"/>
  <c r="K236" i="7" s="1"/>
  <c r="K237" i="7" s="1"/>
  <c r="K238" i="7" s="1"/>
  <c r="K239" i="7" s="1"/>
  <c r="K240" i="7" s="1"/>
  <c r="K241" i="7" s="1"/>
  <c r="K242" i="7" s="1"/>
  <c r="K243" i="7" s="1"/>
  <c r="K244" i="7" s="1"/>
  <c r="J236" i="7"/>
  <c r="J237" i="7" s="1"/>
  <c r="J238" i="7" s="1"/>
  <c r="J239" i="7" s="1"/>
  <c r="J240" i="7" s="1"/>
  <c r="J241" i="7" s="1"/>
  <c r="J242" i="7" s="1"/>
  <c r="J243" i="7" s="1"/>
  <c r="J244" i="7" s="1"/>
  <c r="J245" i="7" s="1"/>
  <c r="K172" i="7"/>
  <c r="K173" i="7" s="1"/>
  <c r="K174" i="7" s="1"/>
  <c r="K175" i="7" s="1"/>
  <c r="K176" i="7" s="1"/>
  <c r="K177" i="7" s="1"/>
  <c r="K178" i="7" s="1"/>
  <c r="K179" i="7" s="1"/>
  <c r="K180" i="7" s="1"/>
  <c r="K181" i="7" s="1"/>
  <c r="K182" i="7" s="1"/>
  <c r="K183" i="7" s="1"/>
  <c r="K184" i="7" s="1"/>
  <c r="J173" i="7"/>
  <c r="J174" i="7" s="1"/>
  <c r="J175" i="7" s="1"/>
  <c r="J176" i="7" s="1"/>
  <c r="J177" i="7" s="1"/>
  <c r="J178" i="7" s="1"/>
  <c r="J179" i="7" s="1"/>
  <c r="J180" i="7" s="1"/>
  <c r="J181" i="7" s="1"/>
  <c r="J182" i="7" s="1"/>
  <c r="J183" i="7" s="1"/>
  <c r="J184" i="7" s="1"/>
  <c r="J185" i="7" s="1"/>
  <c r="K298" i="7"/>
  <c r="K299" i="7" s="1"/>
  <c r="K300" i="7" s="1"/>
  <c r="K301" i="7" s="1"/>
  <c r="K302" i="7" s="1"/>
  <c r="K303" i="7" s="1"/>
  <c r="K304" i="7" s="1"/>
  <c r="J299" i="7"/>
  <c r="J300" i="7" s="1"/>
  <c r="J301" i="7" s="1"/>
  <c r="J302" i="7" s="1"/>
  <c r="J303" i="7" s="1"/>
  <c r="J304" i="7" s="1"/>
  <c r="J305" i="7" s="1"/>
  <c r="K130" i="7"/>
  <c r="K131" i="7" s="1"/>
  <c r="K132" i="7" s="1"/>
  <c r="K133" i="7" s="1"/>
  <c r="K134" i="7" s="1"/>
  <c r="K135" i="7" s="1"/>
  <c r="K136" i="7" s="1"/>
  <c r="K137" i="7" s="1"/>
  <c r="K138" i="7" s="1"/>
  <c r="K139" i="7" s="1"/>
  <c r="K140" i="7" s="1"/>
  <c r="K141" i="7" s="1"/>
  <c r="K142" i="7" s="1"/>
  <c r="K143" i="7" s="1"/>
  <c r="K144" i="7" s="1"/>
  <c r="J131" i="7"/>
  <c r="J132" i="7" s="1"/>
  <c r="J133" i="7" s="1"/>
  <c r="J134" i="7" s="1"/>
  <c r="J135" i="7" s="1"/>
  <c r="J136" i="7" s="1"/>
  <c r="J137" i="7" s="1"/>
  <c r="J138" i="7" s="1"/>
  <c r="J139" i="7" s="1"/>
  <c r="J140" i="7" s="1"/>
  <c r="J141" i="7" s="1"/>
  <c r="J142" i="7" s="1"/>
  <c r="J143" i="7" s="1"/>
  <c r="J144" i="7" s="1"/>
  <c r="J145" i="7" s="1"/>
  <c r="C102" i="7"/>
  <c r="B103" i="7"/>
  <c r="B104" i="7" s="1"/>
  <c r="B105" i="7" s="1"/>
  <c r="B106" i="7" s="1"/>
  <c r="B107" i="7" s="1"/>
  <c r="B108" i="7" s="1"/>
  <c r="B33" i="7"/>
  <c r="B34" i="7" s="1"/>
  <c r="B35" i="7" s="1"/>
  <c r="B36" i="7" s="1"/>
  <c r="B37" i="7" s="1"/>
  <c r="B38" i="7" s="1"/>
  <c r="C32" i="7"/>
  <c r="C95" i="7"/>
  <c r="B96" i="7"/>
  <c r="B97" i="7" s="1"/>
  <c r="B98" i="7" s="1"/>
  <c r="B99" i="7" s="1"/>
  <c r="B100" i="7" s="1"/>
  <c r="B101" i="7" s="1"/>
  <c r="C130" i="7"/>
  <c r="B131" i="7"/>
  <c r="B132" i="7" s="1"/>
  <c r="B133" i="7" s="1"/>
  <c r="B134" i="7" s="1"/>
  <c r="B54" i="7"/>
  <c r="B55" i="7" s="1"/>
  <c r="B56" i="7" s="1"/>
  <c r="B57" i="7" s="1"/>
  <c r="B58" i="7" s="1"/>
  <c r="B59" i="7" s="1"/>
  <c r="C53" i="7"/>
  <c r="D74" i="7"/>
  <c r="D75" i="7" s="1"/>
  <c r="D76" i="7" s="1"/>
  <c r="D77" i="7" s="1"/>
  <c r="C75" i="7"/>
  <c r="C76" i="7" s="1"/>
  <c r="C77" i="7" s="1"/>
  <c r="C78" i="7" s="1"/>
  <c r="C79" i="7" s="1"/>
  <c r="C82" i="7"/>
  <c r="C83" i="7" s="1"/>
  <c r="C84" i="7" s="1"/>
  <c r="C85" i="7" s="1"/>
  <c r="C86" i="7" s="1"/>
  <c r="J68" i="7"/>
  <c r="J69" i="7" s="1"/>
  <c r="J70" i="7" s="1"/>
  <c r="J71" i="7" s="1"/>
  <c r="J72" i="7" s="1"/>
  <c r="J73" i="7" s="1"/>
  <c r="J74" i="7" s="1"/>
  <c r="J75" i="7" s="1"/>
  <c r="J76" i="7" s="1"/>
  <c r="J77" i="7" s="1"/>
  <c r="J78" i="7" s="1"/>
  <c r="J79" i="7" s="1"/>
  <c r="J80" i="7" s="1"/>
  <c r="J81" i="7" s="1"/>
  <c r="J82" i="7" s="1"/>
  <c r="J83" i="7" s="1"/>
  <c r="J84" i="7" s="1"/>
  <c r="J85" i="7" s="1"/>
  <c r="D60" i="7"/>
  <c r="D61" i="7" s="1"/>
  <c r="D62" i="7" s="1"/>
  <c r="D63" i="7" s="1"/>
  <c r="D64" i="7" s="1"/>
  <c r="D67" i="7"/>
  <c r="D68" i="7" s="1"/>
  <c r="D69" i="7" s="1"/>
  <c r="D70" i="7" s="1"/>
  <c r="C68" i="7"/>
  <c r="C69" i="7" s="1"/>
  <c r="C70" i="7" s="1"/>
  <c r="C71" i="7" s="1"/>
  <c r="C72" i="7" s="1"/>
  <c r="C73" i="7" s="1"/>
  <c r="C46" i="7"/>
  <c r="B47" i="7"/>
  <c r="B48" i="7" s="1"/>
  <c r="B49" i="7" s="1"/>
  <c r="B50" i="7" s="1"/>
  <c r="B51" i="7" s="1"/>
  <c r="B52" i="7" s="1"/>
  <c r="D4" i="7"/>
  <c r="D5" i="7" s="1"/>
  <c r="D6" i="7" s="1"/>
  <c r="D7" i="7" s="1"/>
  <c r="D8" i="7" s="1"/>
  <c r="D9" i="7" s="1"/>
  <c r="D10" i="7" s="1"/>
  <c r="C5" i="7"/>
  <c r="C6" i="7" s="1"/>
  <c r="C7" i="7" s="1"/>
  <c r="C8" i="7" s="1"/>
  <c r="C9" i="7" s="1"/>
  <c r="C10" i="7" s="1"/>
  <c r="C18" i="7"/>
  <c r="C12" i="7"/>
  <c r="C13" i="7" s="1"/>
  <c r="C14" i="7" s="1"/>
  <c r="C15" i="7" s="1"/>
  <c r="C16" i="7" s="1"/>
  <c r="C17" i="7" s="1"/>
  <c r="K10" i="1"/>
  <c r="K11" i="1"/>
  <c r="K12" i="1"/>
  <c r="G10" i="1"/>
  <c r="G11" i="1"/>
  <c r="G12" i="1"/>
  <c r="K9" i="1"/>
  <c r="G9" i="1"/>
  <c r="K8" i="1"/>
  <c r="G8" i="1"/>
  <c r="K7" i="1"/>
  <c r="G7" i="1"/>
  <c r="K6" i="1"/>
  <c r="G6" i="1"/>
  <c r="C75" i="2" l="1"/>
  <c r="C76" i="2" s="1"/>
  <c r="C77" i="2" s="1"/>
  <c r="C78" i="2" s="1"/>
  <c r="C79" i="2" s="1"/>
  <c r="D74" i="2"/>
  <c r="D75" i="2" s="1"/>
  <c r="D76" i="2" s="1"/>
  <c r="D77" i="2" s="1"/>
  <c r="C110" i="2"/>
  <c r="C111" i="2" s="1"/>
  <c r="C112" i="2" s="1"/>
  <c r="D109" i="2"/>
  <c r="D110" i="2" s="1"/>
  <c r="C103" i="2"/>
  <c r="C104" i="2" s="1"/>
  <c r="C105" i="2" s="1"/>
  <c r="D102" i="2"/>
  <c r="D103" i="2" s="1"/>
  <c r="D104" i="2" s="1"/>
  <c r="C19" i="2"/>
  <c r="C20" i="2" s="1"/>
  <c r="C21" i="2" s="1"/>
  <c r="C22" i="2" s="1"/>
  <c r="C23" i="2" s="1"/>
  <c r="C24" i="2" s="1"/>
  <c r="D18" i="2"/>
  <c r="D19" i="2" s="1"/>
  <c r="D20" i="2" s="1"/>
  <c r="D21" i="2" s="1"/>
  <c r="D22" i="2" s="1"/>
  <c r="D23" i="2" s="1"/>
  <c r="D24" i="2" s="1"/>
  <c r="D67" i="2"/>
  <c r="D68" i="2" s="1"/>
  <c r="D69" i="2" s="1"/>
  <c r="D70" i="2" s="1"/>
  <c r="C68" i="2"/>
  <c r="C69" i="2" s="1"/>
  <c r="C70" i="2" s="1"/>
  <c r="C71" i="2" s="1"/>
  <c r="C72" i="2" s="1"/>
  <c r="C73" i="2" s="1"/>
  <c r="C117" i="2"/>
  <c r="C118" i="2" s="1"/>
  <c r="D116" i="2"/>
  <c r="D117" i="2" s="1"/>
  <c r="C47" i="2"/>
  <c r="C48" i="2" s="1"/>
  <c r="C49" i="2" s="1"/>
  <c r="C50" i="2" s="1"/>
  <c r="C51" i="2" s="1"/>
  <c r="C52" i="2" s="1"/>
  <c r="D46" i="2"/>
  <c r="D47" i="2" s="1"/>
  <c r="D48" i="2" s="1"/>
  <c r="D49" i="2" s="1"/>
  <c r="D50" i="2" s="1"/>
  <c r="C12" i="2"/>
  <c r="C13" i="2" s="1"/>
  <c r="C14" i="2" s="1"/>
  <c r="C15" i="2" s="1"/>
  <c r="C16" i="2" s="1"/>
  <c r="C17" i="2" s="1"/>
  <c r="D11" i="2"/>
  <c r="D12" i="2" s="1"/>
  <c r="D13" i="2" s="1"/>
  <c r="D14" i="2" s="1"/>
  <c r="D15" i="2" s="1"/>
  <c r="D16" i="2" s="1"/>
  <c r="D17" i="2" s="1"/>
  <c r="D130" i="2"/>
  <c r="C131" i="2"/>
  <c r="D39" i="2"/>
  <c r="D40" i="2" s="1"/>
  <c r="D41" i="2" s="1"/>
  <c r="D42" i="2" s="1"/>
  <c r="D43" i="2" s="1"/>
  <c r="D44" i="2" s="1"/>
  <c r="C40" i="2"/>
  <c r="C41" i="2" s="1"/>
  <c r="C42" i="2" s="1"/>
  <c r="C43" i="2" s="1"/>
  <c r="C44" i="2" s="1"/>
  <c r="C45" i="2" s="1"/>
  <c r="D88" i="2"/>
  <c r="D89" i="2" s="1"/>
  <c r="D90" i="2" s="1"/>
  <c r="C89" i="2"/>
  <c r="C90" i="2" s="1"/>
  <c r="C91" i="2" s="1"/>
  <c r="C92" i="2" s="1"/>
  <c r="C82" i="2"/>
  <c r="C83" i="2" s="1"/>
  <c r="C84" i="2" s="1"/>
  <c r="C85" i="2" s="1"/>
  <c r="C86" i="2" s="1"/>
  <c r="D81" i="2"/>
  <c r="D82" i="2" s="1"/>
  <c r="D83" i="2" s="1"/>
  <c r="D84" i="2" s="1"/>
  <c r="D32" i="7"/>
  <c r="D33" i="7" s="1"/>
  <c r="D34" i="7" s="1"/>
  <c r="D35" i="7" s="1"/>
  <c r="D36" i="7" s="1"/>
  <c r="D37" i="7" s="1"/>
  <c r="C33" i="7"/>
  <c r="C34" i="7" s="1"/>
  <c r="C35" i="7" s="1"/>
  <c r="C36" i="7" s="1"/>
  <c r="C37" i="7" s="1"/>
  <c r="C38" i="7" s="1"/>
  <c r="D130" i="7"/>
  <c r="C131" i="7"/>
  <c r="D95" i="7"/>
  <c r="D96" i="7" s="1"/>
  <c r="D97" i="7" s="1"/>
  <c r="C96" i="7"/>
  <c r="C97" i="7" s="1"/>
  <c r="C98" i="7" s="1"/>
  <c r="C99" i="7" s="1"/>
  <c r="D102" i="7"/>
  <c r="D103" i="7" s="1"/>
  <c r="D104" i="7" s="1"/>
  <c r="C103" i="7"/>
  <c r="C104" i="7" s="1"/>
  <c r="C105" i="7" s="1"/>
  <c r="D18" i="7"/>
  <c r="D19" i="7" s="1"/>
  <c r="D20" i="7" s="1"/>
  <c r="D21" i="7" s="1"/>
  <c r="D22" i="7" s="1"/>
  <c r="D23" i="7" s="1"/>
  <c r="D24" i="7" s="1"/>
  <c r="C19" i="7"/>
  <c r="C20" i="7" s="1"/>
  <c r="C21" i="7" s="1"/>
  <c r="C22" i="7" s="1"/>
  <c r="C23" i="7" s="1"/>
  <c r="C24" i="7" s="1"/>
  <c r="D46" i="7"/>
  <c r="D47" i="7" s="1"/>
  <c r="D48" i="7" s="1"/>
  <c r="D49" i="7" s="1"/>
  <c r="D50" i="7" s="1"/>
  <c r="C47" i="7"/>
  <c r="C48" i="7" s="1"/>
  <c r="C49" i="7" s="1"/>
  <c r="C50" i="7" s="1"/>
  <c r="C51" i="7" s="1"/>
  <c r="C52" i="7" s="1"/>
  <c r="C54" i="7"/>
  <c r="C55" i="7" s="1"/>
  <c r="C56" i="7" s="1"/>
  <c r="C57" i="7" s="1"/>
  <c r="C58" i="7" s="1"/>
  <c r="C59" i="7" s="1"/>
  <c r="D53" i="7"/>
  <c r="D54" i="7" s="1"/>
  <c r="D55" i="7" s="1"/>
  <c r="D56" i="7" s="1"/>
  <c r="D57" i="7" s="1"/>
  <c r="D167" i="5"/>
  <c r="D168" i="5" s="1"/>
  <c r="D169" i="5" s="1"/>
  <c r="D170" i="5" s="1"/>
  <c r="D166" i="5"/>
  <c r="B166" i="5"/>
  <c r="B167" i="5" s="1"/>
  <c r="B168" i="5" s="1"/>
  <c r="B169" i="5" s="1"/>
  <c r="B170" i="5" s="1"/>
  <c r="C165" i="5"/>
  <c r="C166" i="5" s="1"/>
  <c r="C167" i="5" s="1"/>
  <c r="C168" i="5" s="1"/>
  <c r="C169" i="5" s="1"/>
  <c r="C170" i="5" s="1"/>
  <c r="B165" i="5"/>
  <c r="D164" i="5"/>
  <c r="D165" i="5" s="1"/>
  <c r="D161" i="5"/>
  <c r="D162" i="5" s="1"/>
  <c r="D163" i="5" s="1"/>
  <c r="D160" i="5"/>
  <c r="C160" i="5"/>
  <c r="C161" i="5" s="1"/>
  <c r="C162" i="5" s="1"/>
  <c r="C163" i="5" s="1"/>
  <c r="B160" i="5"/>
  <c r="B161" i="5" s="1"/>
  <c r="B162" i="5" s="1"/>
  <c r="B163" i="5" s="1"/>
  <c r="C159" i="5"/>
  <c r="B159" i="5"/>
  <c r="D158" i="5"/>
  <c r="D159" i="5" s="1"/>
  <c r="C158" i="5"/>
  <c r="B157" i="5"/>
  <c r="B154" i="5"/>
  <c r="B155" i="5" s="1"/>
  <c r="B156" i="5" s="1"/>
  <c r="B153" i="5"/>
  <c r="D152" i="5"/>
  <c r="D153" i="5" s="1"/>
  <c r="D154" i="5" s="1"/>
  <c r="D155" i="5" s="1"/>
  <c r="D156" i="5" s="1"/>
  <c r="C152" i="5"/>
  <c r="C153" i="5" s="1"/>
  <c r="C154" i="5" s="1"/>
  <c r="C155" i="5" s="1"/>
  <c r="C156" i="5" s="1"/>
  <c r="D151" i="5"/>
  <c r="B150" i="5"/>
  <c r="B148" i="5"/>
  <c r="B149" i="5" s="1"/>
  <c r="C147" i="5"/>
  <c r="C148" i="5" s="1"/>
  <c r="C149" i="5" s="1"/>
  <c r="B147" i="5"/>
  <c r="D146" i="5"/>
  <c r="D147" i="5" s="1"/>
  <c r="D148" i="5" s="1"/>
  <c r="D149" i="5" s="1"/>
  <c r="C146" i="5"/>
  <c r="D145" i="5"/>
  <c r="C145" i="5"/>
  <c r="D143" i="5"/>
  <c r="B143" i="5"/>
  <c r="C143" i="5" s="1"/>
  <c r="D142" i="5"/>
  <c r="B141" i="5"/>
  <c r="B142" i="5" s="1"/>
  <c r="C139" i="5"/>
  <c r="C140" i="5" s="1"/>
  <c r="C141" i="5" s="1"/>
  <c r="C142" i="5" s="1"/>
  <c r="D138" i="5"/>
  <c r="D139" i="5" s="1"/>
  <c r="D140" i="5" s="1"/>
  <c r="D141" i="5" s="1"/>
  <c r="C136" i="5"/>
  <c r="B136" i="5"/>
  <c r="B137" i="5" s="1"/>
  <c r="B138" i="5" s="1"/>
  <c r="B139" i="5" s="1"/>
  <c r="B135" i="5"/>
  <c r="C132" i="5"/>
  <c r="C133" i="5" s="1"/>
  <c r="C134" i="5" s="1"/>
  <c r="C135" i="5" s="1"/>
  <c r="D131" i="5"/>
  <c r="D132" i="5" s="1"/>
  <c r="D133" i="5" s="1"/>
  <c r="D134" i="5" s="1"/>
  <c r="D135" i="5" s="1"/>
  <c r="B130" i="5"/>
  <c r="B131" i="5" s="1"/>
  <c r="B132" i="5" s="1"/>
  <c r="B133" i="5" s="1"/>
  <c r="B129" i="5"/>
  <c r="C129" i="5" s="1"/>
  <c r="D129" i="5" s="1"/>
  <c r="C128" i="5"/>
  <c r="C127" i="5"/>
  <c r="C126" i="5"/>
  <c r="D125" i="5"/>
  <c r="D126" i="5" s="1"/>
  <c r="D127" i="5" s="1"/>
  <c r="D128" i="5" s="1"/>
  <c r="B124" i="5"/>
  <c r="B125" i="5" s="1"/>
  <c r="B126" i="5" s="1"/>
  <c r="B127" i="5" s="1"/>
  <c r="C122" i="5"/>
  <c r="B122" i="5"/>
  <c r="B123" i="5" s="1"/>
  <c r="C121" i="5"/>
  <c r="C119" i="5"/>
  <c r="C120" i="5" s="1"/>
  <c r="D118" i="5"/>
  <c r="D119" i="5" s="1"/>
  <c r="D120" i="5" s="1"/>
  <c r="D121" i="5" s="1"/>
  <c r="C116" i="5"/>
  <c r="C117" i="5" s="1"/>
  <c r="C115" i="5"/>
  <c r="D115" i="5" s="1"/>
  <c r="D116" i="5" s="1"/>
  <c r="B115" i="5"/>
  <c r="B116" i="5" s="1"/>
  <c r="B117" i="5" s="1"/>
  <c r="B118" i="5" s="1"/>
  <c r="B119" i="5" s="1"/>
  <c r="B120" i="5" s="1"/>
  <c r="B121" i="5" s="1"/>
  <c r="D114" i="5"/>
  <c r="C113" i="5"/>
  <c r="C114" i="5" s="1"/>
  <c r="D112" i="5"/>
  <c r="D113" i="5" s="1"/>
  <c r="B110" i="5"/>
  <c r="B111" i="5" s="1"/>
  <c r="B112" i="5" s="1"/>
  <c r="B113" i="5" s="1"/>
  <c r="B114" i="5" s="1"/>
  <c r="B109" i="5"/>
  <c r="C108" i="5"/>
  <c r="B108" i="5"/>
  <c r="D107" i="5"/>
  <c r="C107" i="5"/>
  <c r="C106" i="5"/>
  <c r="D105" i="5"/>
  <c r="D106" i="5" s="1"/>
  <c r="B101" i="5"/>
  <c r="C100" i="5"/>
  <c r="D98" i="5"/>
  <c r="D99" i="5" s="1"/>
  <c r="D100" i="5" s="1"/>
  <c r="B95" i="5"/>
  <c r="B96" i="5" s="1"/>
  <c r="B97" i="5" s="1"/>
  <c r="B98" i="5" s="1"/>
  <c r="B99" i="5" s="1"/>
  <c r="B100" i="5" s="1"/>
  <c r="B94" i="5"/>
  <c r="C94" i="5" s="1"/>
  <c r="C93" i="5"/>
  <c r="D92" i="5"/>
  <c r="D93" i="5" s="1"/>
  <c r="D91" i="5"/>
  <c r="D89" i="5"/>
  <c r="B88" i="5"/>
  <c r="B89" i="5" s="1"/>
  <c r="B90" i="5" s="1"/>
  <c r="B91" i="5" s="1"/>
  <c r="B92" i="5" s="1"/>
  <c r="B93" i="5" s="1"/>
  <c r="B87" i="5"/>
  <c r="C87" i="5" s="1"/>
  <c r="D87" i="5" s="1"/>
  <c r="D88" i="5" s="1"/>
  <c r="D86" i="5"/>
  <c r="D85" i="5"/>
  <c r="C82" i="5"/>
  <c r="C83" i="5" s="1"/>
  <c r="C84" i="5" s="1"/>
  <c r="C85" i="5" s="1"/>
  <c r="B81" i="5"/>
  <c r="B82" i="5" s="1"/>
  <c r="B83" i="5" s="1"/>
  <c r="B84" i="5" s="1"/>
  <c r="B85" i="5" s="1"/>
  <c r="B86" i="5" s="1"/>
  <c r="D80" i="5"/>
  <c r="D81" i="5" s="1"/>
  <c r="D82" i="5" s="1"/>
  <c r="D83" i="5" s="1"/>
  <c r="C80" i="5"/>
  <c r="C81" i="5" s="1"/>
  <c r="B80" i="5"/>
  <c r="D78" i="5"/>
  <c r="D79" i="5" s="1"/>
  <c r="B75" i="5"/>
  <c r="B76" i="5" s="1"/>
  <c r="B77" i="5" s="1"/>
  <c r="B78" i="5" s="1"/>
  <c r="B79" i="5" s="1"/>
  <c r="C73" i="5"/>
  <c r="B73" i="5"/>
  <c r="B74" i="5" s="1"/>
  <c r="D71" i="5"/>
  <c r="D72" i="5" s="1"/>
  <c r="B66" i="5"/>
  <c r="D65" i="5"/>
  <c r="B59" i="5"/>
  <c r="D58" i="5"/>
  <c r="B52" i="5"/>
  <c r="D51" i="5"/>
  <c r="B45" i="5"/>
  <c r="B41" i="5"/>
  <c r="B42" i="5" s="1"/>
  <c r="B43" i="5" s="1"/>
  <c r="B44" i="5" s="1"/>
  <c r="B40" i="5"/>
  <c r="C38" i="5"/>
  <c r="D38" i="5" s="1"/>
  <c r="D39" i="5" s="1"/>
  <c r="D40" i="5" s="1"/>
  <c r="D41" i="5" s="1"/>
  <c r="D42" i="5" s="1"/>
  <c r="D43" i="5" s="1"/>
  <c r="B38" i="5"/>
  <c r="B39" i="5" s="1"/>
  <c r="B31" i="5"/>
  <c r="B24" i="5"/>
  <c r="B18" i="5"/>
  <c r="B19" i="5" s="1"/>
  <c r="B20" i="5" s="1"/>
  <c r="B21" i="5" s="1"/>
  <c r="B22" i="5" s="1"/>
  <c r="B23" i="5" s="1"/>
  <c r="C17" i="5"/>
  <c r="B17" i="5"/>
  <c r="B10" i="5"/>
  <c r="B4" i="5"/>
  <c r="B5" i="5" s="1"/>
  <c r="B6" i="5" s="1"/>
  <c r="B7" i="5" s="1"/>
  <c r="B8" i="5" s="1"/>
  <c r="B9" i="5" s="1"/>
  <c r="C3" i="5"/>
  <c r="B3" i="5"/>
  <c r="G5" i="1"/>
  <c r="K5" i="1"/>
  <c r="B11" i="5" l="1"/>
  <c r="B12" i="5" s="1"/>
  <c r="B13" i="5" s="1"/>
  <c r="B14" i="5" s="1"/>
  <c r="B15" i="5" s="1"/>
  <c r="B16" i="5" s="1"/>
  <c r="C10" i="5"/>
  <c r="D17" i="5"/>
  <c r="D18" i="5" s="1"/>
  <c r="D19" i="5" s="1"/>
  <c r="D20" i="5" s="1"/>
  <c r="D21" i="5" s="1"/>
  <c r="D22" i="5" s="1"/>
  <c r="D23" i="5" s="1"/>
  <c r="C18" i="5"/>
  <c r="C19" i="5" s="1"/>
  <c r="C20" i="5" s="1"/>
  <c r="C21" i="5" s="1"/>
  <c r="C22" i="5" s="1"/>
  <c r="C23" i="5" s="1"/>
  <c r="C39" i="5"/>
  <c r="C40" i="5" s="1"/>
  <c r="C41" i="5" s="1"/>
  <c r="C42" i="5" s="1"/>
  <c r="C43" i="5" s="1"/>
  <c r="C44" i="5" s="1"/>
  <c r="B46" i="5"/>
  <c r="B47" i="5" s="1"/>
  <c r="B48" i="5" s="1"/>
  <c r="B49" i="5" s="1"/>
  <c r="B50" i="5" s="1"/>
  <c r="B51" i="5" s="1"/>
  <c r="C45" i="5"/>
  <c r="C74" i="5"/>
  <c r="C75" i="5" s="1"/>
  <c r="C76" i="5" s="1"/>
  <c r="C77" i="5" s="1"/>
  <c r="C78" i="5" s="1"/>
  <c r="D73" i="5"/>
  <c r="D74" i="5" s="1"/>
  <c r="D75" i="5" s="1"/>
  <c r="D76" i="5" s="1"/>
  <c r="D94" i="5"/>
  <c r="D95" i="5" s="1"/>
  <c r="D96" i="5" s="1"/>
  <c r="C95" i="5"/>
  <c r="C96" i="5" s="1"/>
  <c r="C97" i="5" s="1"/>
  <c r="C98" i="5" s="1"/>
  <c r="C123" i="5"/>
  <c r="C124" i="5" s="1"/>
  <c r="D122" i="5"/>
  <c r="D123" i="5" s="1"/>
  <c r="B151" i="5"/>
  <c r="C150" i="5"/>
  <c r="B102" i="5"/>
  <c r="B103" i="5" s="1"/>
  <c r="B104" i="5" s="1"/>
  <c r="B105" i="5" s="1"/>
  <c r="B106" i="5" s="1"/>
  <c r="B107" i="5" s="1"/>
  <c r="C101" i="5"/>
  <c r="C137" i="5"/>
  <c r="D136" i="5"/>
  <c r="B67" i="5"/>
  <c r="B68" i="5" s="1"/>
  <c r="B69" i="5" s="1"/>
  <c r="B70" i="5" s="1"/>
  <c r="B71" i="5" s="1"/>
  <c r="B72" i="5" s="1"/>
  <c r="C66" i="5"/>
  <c r="B53" i="5"/>
  <c r="B54" i="5" s="1"/>
  <c r="B55" i="5" s="1"/>
  <c r="B56" i="5" s="1"/>
  <c r="B57" i="5" s="1"/>
  <c r="B58" i="5" s="1"/>
  <c r="C52" i="5"/>
  <c r="C4" i="5"/>
  <c r="C5" i="5" s="1"/>
  <c r="C6" i="5" s="1"/>
  <c r="C7" i="5" s="1"/>
  <c r="C8" i="5" s="1"/>
  <c r="C9" i="5" s="1"/>
  <c r="D3" i="5"/>
  <c r="D4" i="5" s="1"/>
  <c r="D5" i="5" s="1"/>
  <c r="D6" i="5" s="1"/>
  <c r="D7" i="5" s="1"/>
  <c r="D8" i="5" s="1"/>
  <c r="D9" i="5" s="1"/>
  <c r="C24" i="5"/>
  <c r="B25" i="5"/>
  <c r="B26" i="5" s="1"/>
  <c r="B27" i="5" s="1"/>
  <c r="B28" i="5" s="1"/>
  <c r="B29" i="5" s="1"/>
  <c r="B30" i="5" s="1"/>
  <c r="B32" i="5"/>
  <c r="B33" i="5" s="1"/>
  <c r="B34" i="5" s="1"/>
  <c r="B35" i="5" s="1"/>
  <c r="B36" i="5" s="1"/>
  <c r="B37" i="5" s="1"/>
  <c r="C31" i="5"/>
  <c r="B60" i="5"/>
  <c r="B61" i="5" s="1"/>
  <c r="B62" i="5" s="1"/>
  <c r="B63" i="5" s="1"/>
  <c r="B64" i="5" s="1"/>
  <c r="B65" i="5" s="1"/>
  <c r="C59" i="5"/>
  <c r="C109" i="5"/>
  <c r="C110" i="5" s="1"/>
  <c r="C111" i="5" s="1"/>
  <c r="D108" i="5"/>
  <c r="D109" i="5" s="1"/>
  <c r="C88" i="5"/>
  <c r="C89" i="5" s="1"/>
  <c r="C90" i="5" s="1"/>
  <c r="C91" i="5" s="1"/>
  <c r="C130" i="5"/>
  <c r="B144" i="5"/>
  <c r="B145" i="5" s="1"/>
  <c r="J488" i="4"/>
  <c r="J489" i="4" s="1"/>
  <c r="J490" i="4" s="1"/>
  <c r="J491" i="4" s="1"/>
  <c r="J492" i="4" s="1"/>
  <c r="J493" i="4" s="1"/>
  <c r="J494" i="4" s="1"/>
  <c r="J495" i="4" s="1"/>
  <c r="J496" i="4" s="1"/>
  <c r="J497" i="4" s="1"/>
  <c r="J498" i="4" s="1"/>
  <c r="J499" i="4" s="1"/>
  <c r="J500" i="4" s="1"/>
  <c r="J501" i="4" s="1"/>
  <c r="J502" i="4" s="1"/>
  <c r="J503" i="4" s="1"/>
  <c r="J504" i="4" s="1"/>
  <c r="J505" i="4" s="1"/>
  <c r="J506" i="4" s="1"/>
  <c r="J507" i="4" s="1"/>
  <c r="J487" i="4"/>
  <c r="K487" i="4" s="1"/>
  <c r="K488" i="4" s="1"/>
  <c r="K489" i="4" s="1"/>
  <c r="K490" i="4" s="1"/>
  <c r="K491" i="4" s="1"/>
  <c r="K492" i="4" s="1"/>
  <c r="K493" i="4" s="1"/>
  <c r="K494" i="4" s="1"/>
  <c r="K495" i="4" s="1"/>
  <c r="K496" i="4" s="1"/>
  <c r="K497" i="4" s="1"/>
  <c r="K498" i="4" s="1"/>
  <c r="K499" i="4" s="1"/>
  <c r="K500" i="4" s="1"/>
  <c r="K501" i="4" s="1"/>
  <c r="K502" i="4" s="1"/>
  <c r="K503" i="4" s="1"/>
  <c r="K504" i="4" s="1"/>
  <c r="K505" i="4" s="1"/>
  <c r="K506" i="4" s="1"/>
  <c r="K507" i="4" s="1"/>
  <c r="J470" i="4"/>
  <c r="J471" i="4" s="1"/>
  <c r="J472" i="4" s="1"/>
  <c r="J473" i="4" s="1"/>
  <c r="J474" i="4" s="1"/>
  <c r="J475" i="4" s="1"/>
  <c r="J476" i="4" s="1"/>
  <c r="J477" i="4" s="1"/>
  <c r="J478" i="4" s="1"/>
  <c r="J479" i="4" s="1"/>
  <c r="J480" i="4" s="1"/>
  <c r="J481" i="4" s="1"/>
  <c r="J482" i="4" s="1"/>
  <c r="J483" i="4" s="1"/>
  <c r="J484" i="4" s="1"/>
  <c r="J485" i="4" s="1"/>
  <c r="J486" i="4" s="1"/>
  <c r="J468" i="4"/>
  <c r="J469" i="4" s="1"/>
  <c r="K467" i="4"/>
  <c r="K468" i="4" s="1"/>
  <c r="K469" i="4" s="1"/>
  <c r="K470" i="4" s="1"/>
  <c r="K471" i="4" s="1"/>
  <c r="K472" i="4" s="1"/>
  <c r="K473" i="4" s="1"/>
  <c r="K474" i="4" s="1"/>
  <c r="K475" i="4" s="1"/>
  <c r="K476" i="4" s="1"/>
  <c r="K477" i="4" s="1"/>
  <c r="K478" i="4" s="1"/>
  <c r="K479" i="4" s="1"/>
  <c r="K480" i="4" s="1"/>
  <c r="K481" i="4" s="1"/>
  <c r="K482" i="4" s="1"/>
  <c r="K483" i="4" s="1"/>
  <c r="K484" i="4" s="1"/>
  <c r="K485" i="4" s="1"/>
  <c r="K486" i="4" s="1"/>
  <c r="J467" i="4"/>
  <c r="J457" i="4"/>
  <c r="J458" i="4" s="1"/>
  <c r="J459" i="4" s="1"/>
  <c r="J460" i="4" s="1"/>
  <c r="J461" i="4" s="1"/>
  <c r="J462" i="4" s="1"/>
  <c r="J463" i="4" s="1"/>
  <c r="J464" i="4" s="1"/>
  <c r="J465" i="4" s="1"/>
  <c r="J449" i="4"/>
  <c r="J450" i="4" s="1"/>
  <c r="J451" i="4" s="1"/>
  <c r="J452" i="4" s="1"/>
  <c r="J453" i="4" s="1"/>
  <c r="J454" i="4" s="1"/>
  <c r="J455" i="4" s="1"/>
  <c r="J456" i="4" s="1"/>
  <c r="J447" i="4"/>
  <c r="J448" i="4" s="1"/>
  <c r="K446" i="4"/>
  <c r="K447" i="4" s="1"/>
  <c r="K448" i="4" s="1"/>
  <c r="K449" i="4" s="1"/>
  <c r="K450" i="4" s="1"/>
  <c r="K451" i="4" s="1"/>
  <c r="K452" i="4" s="1"/>
  <c r="K453" i="4" s="1"/>
  <c r="K454" i="4" s="1"/>
  <c r="K455" i="4" s="1"/>
  <c r="K456" i="4" s="1"/>
  <c r="K457" i="4" s="1"/>
  <c r="K458" i="4" s="1"/>
  <c r="K459" i="4" s="1"/>
  <c r="K460" i="4" s="1"/>
  <c r="K461" i="4" s="1"/>
  <c r="K462" i="4" s="1"/>
  <c r="K463" i="4" s="1"/>
  <c r="K464" i="4" s="1"/>
  <c r="K465" i="4" s="1"/>
  <c r="J445" i="4"/>
  <c r="J428" i="4"/>
  <c r="J429" i="4" s="1"/>
  <c r="J430" i="4" s="1"/>
  <c r="J431" i="4" s="1"/>
  <c r="J432" i="4" s="1"/>
  <c r="J433" i="4" s="1"/>
  <c r="J434" i="4" s="1"/>
  <c r="J435" i="4" s="1"/>
  <c r="J436" i="4" s="1"/>
  <c r="J437" i="4" s="1"/>
  <c r="J438" i="4" s="1"/>
  <c r="J439" i="4" s="1"/>
  <c r="J440" i="4" s="1"/>
  <c r="J441" i="4" s="1"/>
  <c r="J442" i="4" s="1"/>
  <c r="J443" i="4" s="1"/>
  <c r="J444" i="4" s="1"/>
  <c r="J427" i="4"/>
  <c r="K426" i="4"/>
  <c r="K427" i="4" s="1"/>
  <c r="K428" i="4" s="1"/>
  <c r="K429" i="4" s="1"/>
  <c r="K430" i="4" s="1"/>
  <c r="K431" i="4" s="1"/>
  <c r="K432" i="4" s="1"/>
  <c r="K433" i="4" s="1"/>
  <c r="K434" i="4" s="1"/>
  <c r="K435" i="4" s="1"/>
  <c r="K436" i="4" s="1"/>
  <c r="K437" i="4" s="1"/>
  <c r="K438" i="4" s="1"/>
  <c r="K439" i="4" s="1"/>
  <c r="K440" i="4" s="1"/>
  <c r="K441" i="4" s="1"/>
  <c r="K442" i="4" s="1"/>
  <c r="K443" i="4" s="1"/>
  <c r="K444" i="4" s="1"/>
  <c r="J425" i="4"/>
  <c r="J424" i="4"/>
  <c r="K424" i="4" s="1"/>
  <c r="J417" i="4"/>
  <c r="J418" i="4" s="1"/>
  <c r="J419" i="4" s="1"/>
  <c r="J420" i="4" s="1"/>
  <c r="J421" i="4" s="1"/>
  <c r="J422" i="4" s="1"/>
  <c r="J423" i="4" s="1"/>
  <c r="J409" i="4"/>
  <c r="J410" i="4" s="1"/>
  <c r="J411" i="4" s="1"/>
  <c r="J412" i="4" s="1"/>
  <c r="J413" i="4" s="1"/>
  <c r="J414" i="4" s="1"/>
  <c r="J415" i="4" s="1"/>
  <c r="J416" i="4" s="1"/>
  <c r="J407" i="4"/>
  <c r="J408" i="4" s="1"/>
  <c r="K406" i="4"/>
  <c r="K407" i="4" s="1"/>
  <c r="K408" i="4" s="1"/>
  <c r="K409" i="4" s="1"/>
  <c r="K410" i="4" s="1"/>
  <c r="K411" i="4" s="1"/>
  <c r="K412" i="4" s="1"/>
  <c r="K413" i="4" s="1"/>
  <c r="K414" i="4" s="1"/>
  <c r="K415" i="4" s="1"/>
  <c r="K416" i="4" s="1"/>
  <c r="K417" i="4" s="1"/>
  <c r="K418" i="4" s="1"/>
  <c r="K419" i="4" s="1"/>
  <c r="K420" i="4" s="1"/>
  <c r="K421" i="4" s="1"/>
  <c r="K422" i="4" s="1"/>
  <c r="K423" i="4" s="1"/>
  <c r="J404" i="4"/>
  <c r="J405" i="4" s="1"/>
  <c r="J403" i="4"/>
  <c r="K403" i="4" s="1"/>
  <c r="K404" i="4" s="1"/>
  <c r="J388" i="4"/>
  <c r="J389" i="4" s="1"/>
  <c r="J390" i="4" s="1"/>
  <c r="J391" i="4" s="1"/>
  <c r="J392" i="4" s="1"/>
  <c r="J393" i="4" s="1"/>
  <c r="J394" i="4" s="1"/>
  <c r="J395" i="4" s="1"/>
  <c r="J396" i="4" s="1"/>
  <c r="J397" i="4" s="1"/>
  <c r="J398" i="4" s="1"/>
  <c r="J399" i="4" s="1"/>
  <c r="J400" i="4" s="1"/>
  <c r="J401" i="4" s="1"/>
  <c r="J402" i="4" s="1"/>
  <c r="J387" i="4"/>
  <c r="K386" i="4"/>
  <c r="K387" i="4" s="1"/>
  <c r="K388" i="4" s="1"/>
  <c r="K389" i="4" s="1"/>
  <c r="K390" i="4" s="1"/>
  <c r="K391" i="4" s="1"/>
  <c r="K392" i="4" s="1"/>
  <c r="K393" i="4" s="1"/>
  <c r="K394" i="4" s="1"/>
  <c r="K395" i="4" s="1"/>
  <c r="K396" i="4" s="1"/>
  <c r="K397" i="4" s="1"/>
  <c r="K398" i="4" s="1"/>
  <c r="K399" i="4" s="1"/>
  <c r="K400" i="4" s="1"/>
  <c r="K401" i="4" s="1"/>
  <c r="K402" i="4" s="1"/>
  <c r="J383" i="4"/>
  <c r="J384" i="4" s="1"/>
  <c r="J385" i="4" s="1"/>
  <c r="J382" i="4"/>
  <c r="K382" i="4" s="1"/>
  <c r="K383" i="4" s="1"/>
  <c r="K384" i="4" s="1"/>
  <c r="J377" i="4"/>
  <c r="J378" i="4" s="1"/>
  <c r="J379" i="4" s="1"/>
  <c r="J380" i="4" s="1"/>
  <c r="J381" i="4" s="1"/>
  <c r="J369" i="4"/>
  <c r="J370" i="4" s="1"/>
  <c r="J371" i="4" s="1"/>
  <c r="J372" i="4" s="1"/>
  <c r="J373" i="4" s="1"/>
  <c r="J374" i="4" s="1"/>
  <c r="J375" i="4" s="1"/>
  <c r="J376" i="4" s="1"/>
  <c r="J367" i="4"/>
  <c r="J368" i="4" s="1"/>
  <c r="K366" i="4"/>
  <c r="K367" i="4" s="1"/>
  <c r="K368" i="4" s="1"/>
  <c r="K369" i="4" s="1"/>
  <c r="K370" i="4" s="1"/>
  <c r="K371" i="4" s="1"/>
  <c r="K372" i="4" s="1"/>
  <c r="K373" i="4" s="1"/>
  <c r="K374" i="4" s="1"/>
  <c r="K375" i="4" s="1"/>
  <c r="K376" i="4" s="1"/>
  <c r="K377" i="4" s="1"/>
  <c r="K378" i="4" s="1"/>
  <c r="K379" i="4" s="1"/>
  <c r="K380" i="4" s="1"/>
  <c r="K381" i="4" s="1"/>
  <c r="J362" i="4"/>
  <c r="J363" i="4" s="1"/>
  <c r="J364" i="4" s="1"/>
  <c r="J365" i="4" s="1"/>
  <c r="J361" i="4"/>
  <c r="K361" i="4" s="1"/>
  <c r="K362" i="4" s="1"/>
  <c r="K363" i="4" s="1"/>
  <c r="K364" i="4" s="1"/>
  <c r="J348" i="4"/>
  <c r="J349" i="4" s="1"/>
  <c r="J350" i="4" s="1"/>
  <c r="J351" i="4" s="1"/>
  <c r="J352" i="4" s="1"/>
  <c r="J353" i="4" s="1"/>
  <c r="J354" i="4" s="1"/>
  <c r="J355" i="4" s="1"/>
  <c r="J356" i="4" s="1"/>
  <c r="J357" i="4" s="1"/>
  <c r="J358" i="4" s="1"/>
  <c r="J359" i="4" s="1"/>
  <c r="J360" i="4" s="1"/>
  <c r="J347" i="4"/>
  <c r="K346" i="4"/>
  <c r="K347" i="4" s="1"/>
  <c r="K348" i="4" s="1"/>
  <c r="K349" i="4" s="1"/>
  <c r="K350" i="4" s="1"/>
  <c r="K351" i="4" s="1"/>
  <c r="K352" i="4" s="1"/>
  <c r="K353" i="4" s="1"/>
  <c r="K354" i="4" s="1"/>
  <c r="K355" i="4" s="1"/>
  <c r="K356" i="4" s="1"/>
  <c r="K357" i="4" s="1"/>
  <c r="K358" i="4" s="1"/>
  <c r="K359" i="4" s="1"/>
  <c r="K360" i="4" s="1"/>
  <c r="J343" i="4"/>
  <c r="J344" i="4" s="1"/>
  <c r="J345" i="4" s="1"/>
  <c r="J341" i="4"/>
  <c r="J342" i="4" s="1"/>
  <c r="J340" i="4"/>
  <c r="K340" i="4" s="1"/>
  <c r="K341" i="4" s="1"/>
  <c r="K342" i="4" s="1"/>
  <c r="K343" i="4" s="1"/>
  <c r="K344" i="4" s="1"/>
  <c r="J337" i="4"/>
  <c r="J338" i="4" s="1"/>
  <c r="J339" i="4" s="1"/>
  <c r="J329" i="4"/>
  <c r="J330" i="4" s="1"/>
  <c r="J331" i="4" s="1"/>
  <c r="J332" i="4" s="1"/>
  <c r="J333" i="4" s="1"/>
  <c r="J334" i="4" s="1"/>
  <c r="J335" i="4" s="1"/>
  <c r="J336" i="4" s="1"/>
  <c r="J327" i="4"/>
  <c r="J328" i="4" s="1"/>
  <c r="K326" i="4"/>
  <c r="K327" i="4" s="1"/>
  <c r="K328" i="4" s="1"/>
  <c r="K329" i="4" s="1"/>
  <c r="K330" i="4" s="1"/>
  <c r="K331" i="4" s="1"/>
  <c r="K332" i="4" s="1"/>
  <c r="K333" i="4" s="1"/>
  <c r="K334" i="4" s="1"/>
  <c r="K335" i="4" s="1"/>
  <c r="K336" i="4" s="1"/>
  <c r="K337" i="4" s="1"/>
  <c r="K338" i="4" s="1"/>
  <c r="K339" i="4" s="1"/>
  <c r="K319" i="4"/>
  <c r="K320" i="4" s="1"/>
  <c r="K321" i="4" s="1"/>
  <c r="K322" i="4" s="1"/>
  <c r="K323" i="4" s="1"/>
  <c r="K324" i="4" s="1"/>
  <c r="J319" i="4"/>
  <c r="J320" i="4" s="1"/>
  <c r="J321" i="4" s="1"/>
  <c r="J322" i="4" s="1"/>
  <c r="J323" i="4" s="1"/>
  <c r="J324" i="4" s="1"/>
  <c r="J325" i="4" s="1"/>
  <c r="K308" i="4"/>
  <c r="K309" i="4" s="1"/>
  <c r="K310" i="4" s="1"/>
  <c r="K311" i="4" s="1"/>
  <c r="K312" i="4" s="1"/>
  <c r="K313" i="4" s="1"/>
  <c r="K314" i="4" s="1"/>
  <c r="K315" i="4" s="1"/>
  <c r="K316" i="4" s="1"/>
  <c r="K317" i="4" s="1"/>
  <c r="K318" i="4" s="1"/>
  <c r="J307" i="4"/>
  <c r="J308" i="4" s="1"/>
  <c r="J309" i="4" s="1"/>
  <c r="J310" i="4" s="1"/>
  <c r="J311" i="4" s="1"/>
  <c r="J312" i="4" s="1"/>
  <c r="J313" i="4" s="1"/>
  <c r="J314" i="4" s="1"/>
  <c r="J315" i="4" s="1"/>
  <c r="J316" i="4" s="1"/>
  <c r="J317" i="4" s="1"/>
  <c r="J318" i="4" s="1"/>
  <c r="K306" i="4"/>
  <c r="K307" i="4" s="1"/>
  <c r="K300" i="4"/>
  <c r="K301" i="4" s="1"/>
  <c r="K302" i="4" s="1"/>
  <c r="K303" i="4" s="1"/>
  <c r="K304" i="4" s="1"/>
  <c r="K299" i="4"/>
  <c r="K298" i="4"/>
  <c r="J298" i="4"/>
  <c r="J299" i="4" s="1"/>
  <c r="J300" i="4" s="1"/>
  <c r="J301" i="4" s="1"/>
  <c r="J302" i="4" s="1"/>
  <c r="J303" i="4" s="1"/>
  <c r="J304" i="4" s="1"/>
  <c r="J305" i="4" s="1"/>
  <c r="J288" i="4"/>
  <c r="J289" i="4" s="1"/>
  <c r="J290" i="4" s="1"/>
  <c r="J291" i="4" s="1"/>
  <c r="J292" i="4" s="1"/>
  <c r="J293" i="4" s="1"/>
  <c r="J294" i="4" s="1"/>
  <c r="J295" i="4" s="1"/>
  <c r="J296" i="4" s="1"/>
  <c r="J297" i="4" s="1"/>
  <c r="K287" i="4"/>
  <c r="K288" i="4" s="1"/>
  <c r="K289" i="4" s="1"/>
  <c r="K290" i="4" s="1"/>
  <c r="K291" i="4" s="1"/>
  <c r="K292" i="4" s="1"/>
  <c r="K293" i="4" s="1"/>
  <c r="K294" i="4" s="1"/>
  <c r="K295" i="4" s="1"/>
  <c r="K296" i="4" s="1"/>
  <c r="K297" i="4" s="1"/>
  <c r="J287" i="4"/>
  <c r="K286" i="4"/>
  <c r="K278" i="4"/>
  <c r="K279" i="4" s="1"/>
  <c r="K280" i="4" s="1"/>
  <c r="K281" i="4" s="1"/>
  <c r="K282" i="4" s="1"/>
  <c r="K283" i="4" s="1"/>
  <c r="K284" i="4" s="1"/>
  <c r="K277" i="4"/>
  <c r="J277" i="4"/>
  <c r="J278" i="4" s="1"/>
  <c r="J279" i="4" s="1"/>
  <c r="J280" i="4" s="1"/>
  <c r="J281" i="4" s="1"/>
  <c r="J282" i="4" s="1"/>
  <c r="J283" i="4" s="1"/>
  <c r="J284" i="4" s="1"/>
  <c r="J285" i="4" s="1"/>
  <c r="K271" i="4"/>
  <c r="K272" i="4" s="1"/>
  <c r="K273" i="4" s="1"/>
  <c r="K274" i="4" s="1"/>
  <c r="K275" i="4" s="1"/>
  <c r="K276" i="4" s="1"/>
  <c r="K267" i="4"/>
  <c r="K268" i="4" s="1"/>
  <c r="K269" i="4" s="1"/>
  <c r="K270" i="4" s="1"/>
  <c r="J267" i="4"/>
  <c r="J268" i="4" s="1"/>
  <c r="J269" i="4" s="1"/>
  <c r="J270" i="4" s="1"/>
  <c r="J271" i="4" s="1"/>
  <c r="J272" i="4" s="1"/>
  <c r="J273" i="4" s="1"/>
  <c r="J274" i="4" s="1"/>
  <c r="J275" i="4" s="1"/>
  <c r="J276" i="4" s="1"/>
  <c r="K266" i="4"/>
  <c r="K263" i="4"/>
  <c r="K264" i="4" s="1"/>
  <c r="K259" i="4"/>
  <c r="K260" i="4" s="1"/>
  <c r="K261" i="4" s="1"/>
  <c r="K262" i="4" s="1"/>
  <c r="K256" i="4"/>
  <c r="K257" i="4" s="1"/>
  <c r="K258" i="4" s="1"/>
  <c r="J256" i="4"/>
  <c r="J257" i="4" s="1"/>
  <c r="J258" i="4" s="1"/>
  <c r="J259" i="4" s="1"/>
  <c r="J260" i="4" s="1"/>
  <c r="J261" i="4" s="1"/>
  <c r="J262" i="4" s="1"/>
  <c r="J263" i="4" s="1"/>
  <c r="J264" i="4" s="1"/>
  <c r="J265" i="4" s="1"/>
  <c r="K252" i="4"/>
  <c r="K253" i="4" s="1"/>
  <c r="K254" i="4" s="1"/>
  <c r="K255" i="4" s="1"/>
  <c r="K248" i="4"/>
  <c r="K249" i="4" s="1"/>
  <c r="K250" i="4" s="1"/>
  <c r="K251" i="4" s="1"/>
  <c r="K247" i="4"/>
  <c r="J247" i="4"/>
  <c r="J248" i="4" s="1"/>
  <c r="J249" i="4" s="1"/>
  <c r="J250" i="4" s="1"/>
  <c r="J251" i="4" s="1"/>
  <c r="J252" i="4" s="1"/>
  <c r="J253" i="4" s="1"/>
  <c r="J254" i="4" s="1"/>
  <c r="J255" i="4" s="1"/>
  <c r="K246" i="4"/>
  <c r="K236" i="4"/>
  <c r="K237" i="4" s="1"/>
  <c r="K238" i="4" s="1"/>
  <c r="K239" i="4" s="1"/>
  <c r="K240" i="4" s="1"/>
  <c r="K241" i="4" s="1"/>
  <c r="K242" i="4" s="1"/>
  <c r="K243" i="4" s="1"/>
  <c r="K244" i="4" s="1"/>
  <c r="K235" i="4"/>
  <c r="J235" i="4"/>
  <c r="J236" i="4" s="1"/>
  <c r="J237" i="4" s="1"/>
  <c r="J238" i="4" s="1"/>
  <c r="J239" i="4" s="1"/>
  <c r="J240" i="4" s="1"/>
  <c r="J241" i="4" s="1"/>
  <c r="J242" i="4" s="1"/>
  <c r="J243" i="4" s="1"/>
  <c r="J244" i="4" s="1"/>
  <c r="J245" i="4" s="1"/>
  <c r="K229" i="4"/>
  <c r="K230" i="4" s="1"/>
  <c r="K231" i="4" s="1"/>
  <c r="K232" i="4" s="1"/>
  <c r="K233" i="4" s="1"/>
  <c r="K234" i="4" s="1"/>
  <c r="J227" i="4"/>
  <c r="J228" i="4" s="1"/>
  <c r="J229" i="4" s="1"/>
  <c r="J230" i="4" s="1"/>
  <c r="J231" i="4" s="1"/>
  <c r="J232" i="4" s="1"/>
  <c r="J233" i="4" s="1"/>
  <c r="J234" i="4" s="1"/>
  <c r="K226" i="4"/>
  <c r="K227" i="4" s="1"/>
  <c r="K228" i="4" s="1"/>
  <c r="K215" i="4"/>
  <c r="K216" i="4" s="1"/>
  <c r="K217" i="4" s="1"/>
  <c r="K218" i="4" s="1"/>
  <c r="K219" i="4" s="1"/>
  <c r="K220" i="4" s="1"/>
  <c r="K221" i="4" s="1"/>
  <c r="K222" i="4" s="1"/>
  <c r="K223" i="4" s="1"/>
  <c r="K224" i="4" s="1"/>
  <c r="K214" i="4"/>
  <c r="J214" i="4"/>
  <c r="J215" i="4" s="1"/>
  <c r="J216" i="4" s="1"/>
  <c r="J217" i="4" s="1"/>
  <c r="J218" i="4" s="1"/>
  <c r="J219" i="4" s="1"/>
  <c r="J220" i="4" s="1"/>
  <c r="J221" i="4" s="1"/>
  <c r="J222" i="4" s="1"/>
  <c r="J223" i="4" s="1"/>
  <c r="J224" i="4" s="1"/>
  <c r="J225" i="4" s="1"/>
  <c r="K210" i="4"/>
  <c r="K211" i="4" s="1"/>
  <c r="K212" i="4" s="1"/>
  <c r="K213" i="4" s="1"/>
  <c r="J207" i="4"/>
  <c r="J208" i="4" s="1"/>
  <c r="J209" i="4" s="1"/>
  <c r="J210" i="4" s="1"/>
  <c r="J211" i="4" s="1"/>
  <c r="J212" i="4" s="1"/>
  <c r="J213" i="4" s="1"/>
  <c r="K206" i="4"/>
  <c r="K207" i="4" s="1"/>
  <c r="K208" i="4" s="1"/>
  <c r="K209" i="4" s="1"/>
  <c r="K194" i="4"/>
  <c r="K195" i="4" s="1"/>
  <c r="K196" i="4" s="1"/>
  <c r="K197" i="4" s="1"/>
  <c r="K198" i="4" s="1"/>
  <c r="K199" i="4" s="1"/>
  <c r="K200" i="4" s="1"/>
  <c r="K201" i="4" s="1"/>
  <c r="K202" i="4" s="1"/>
  <c r="K203" i="4" s="1"/>
  <c r="K204" i="4" s="1"/>
  <c r="K193" i="4"/>
  <c r="J193" i="4"/>
  <c r="J194" i="4" s="1"/>
  <c r="J195" i="4" s="1"/>
  <c r="J196" i="4" s="1"/>
  <c r="J197" i="4" s="1"/>
  <c r="J198" i="4" s="1"/>
  <c r="J199" i="4" s="1"/>
  <c r="J200" i="4" s="1"/>
  <c r="J201" i="4" s="1"/>
  <c r="J202" i="4" s="1"/>
  <c r="J203" i="4" s="1"/>
  <c r="J204" i="4" s="1"/>
  <c r="J205" i="4" s="1"/>
  <c r="K187" i="4"/>
  <c r="K188" i="4" s="1"/>
  <c r="K189" i="4" s="1"/>
  <c r="K190" i="4" s="1"/>
  <c r="K191" i="4" s="1"/>
  <c r="K192" i="4" s="1"/>
  <c r="J187" i="4"/>
  <c r="J188" i="4" s="1"/>
  <c r="J189" i="4" s="1"/>
  <c r="J190" i="4" s="1"/>
  <c r="J191" i="4" s="1"/>
  <c r="J192" i="4" s="1"/>
  <c r="K186" i="4"/>
  <c r="K179" i="4"/>
  <c r="K180" i="4" s="1"/>
  <c r="K181" i="4" s="1"/>
  <c r="K182" i="4" s="1"/>
  <c r="K183" i="4" s="1"/>
  <c r="K184" i="4" s="1"/>
  <c r="K175" i="4"/>
  <c r="K176" i="4" s="1"/>
  <c r="K177" i="4" s="1"/>
  <c r="K178" i="4" s="1"/>
  <c r="K173" i="4"/>
  <c r="K174" i="4" s="1"/>
  <c r="K172" i="4"/>
  <c r="J172" i="4"/>
  <c r="J173" i="4" s="1"/>
  <c r="J174" i="4" s="1"/>
  <c r="J175" i="4" s="1"/>
  <c r="J176" i="4" s="1"/>
  <c r="J177" i="4" s="1"/>
  <c r="J178" i="4" s="1"/>
  <c r="J179" i="4" s="1"/>
  <c r="J180" i="4" s="1"/>
  <c r="J181" i="4" s="1"/>
  <c r="J182" i="4" s="1"/>
  <c r="J183" i="4" s="1"/>
  <c r="J184" i="4" s="1"/>
  <c r="J185" i="4" s="1"/>
  <c r="J169" i="4"/>
  <c r="J170" i="4" s="1"/>
  <c r="J171" i="4" s="1"/>
  <c r="B168" i="4"/>
  <c r="B169" i="4" s="1"/>
  <c r="B170" i="4" s="1"/>
  <c r="B171" i="4" s="1"/>
  <c r="J167" i="4"/>
  <c r="J168" i="4" s="1"/>
  <c r="C167" i="4"/>
  <c r="C168" i="4" s="1"/>
  <c r="C169" i="4" s="1"/>
  <c r="C170" i="4" s="1"/>
  <c r="C171" i="4" s="1"/>
  <c r="K166" i="4"/>
  <c r="K167" i="4" s="1"/>
  <c r="K168" i="4" s="1"/>
  <c r="K169" i="4" s="1"/>
  <c r="K170" i="4" s="1"/>
  <c r="K171" i="4" s="1"/>
  <c r="C166" i="4"/>
  <c r="B166" i="4"/>
  <c r="B167" i="4" s="1"/>
  <c r="D165" i="4"/>
  <c r="D166" i="4" s="1"/>
  <c r="D167" i="4" s="1"/>
  <c r="D168" i="4" s="1"/>
  <c r="D169" i="4" s="1"/>
  <c r="D170" i="4" s="1"/>
  <c r="D171" i="4" s="1"/>
  <c r="D162" i="4"/>
  <c r="D163" i="4" s="1"/>
  <c r="D164" i="4" s="1"/>
  <c r="D160" i="4"/>
  <c r="D161" i="4" s="1"/>
  <c r="B160" i="4"/>
  <c r="B161" i="4" s="1"/>
  <c r="B162" i="4" s="1"/>
  <c r="B163" i="4" s="1"/>
  <c r="B164" i="4" s="1"/>
  <c r="D159" i="4"/>
  <c r="C159" i="4"/>
  <c r="C160" i="4" s="1"/>
  <c r="C161" i="4" s="1"/>
  <c r="C162" i="4" s="1"/>
  <c r="C163" i="4" s="1"/>
  <c r="C164" i="4" s="1"/>
  <c r="B158" i="4"/>
  <c r="B157" i="4"/>
  <c r="B155" i="4"/>
  <c r="B156" i="4" s="1"/>
  <c r="C154" i="4"/>
  <c r="C155" i="4" s="1"/>
  <c r="C156" i="4" s="1"/>
  <c r="C157" i="4" s="1"/>
  <c r="B154" i="4"/>
  <c r="C153" i="4"/>
  <c r="D152" i="4"/>
  <c r="D153" i="4" s="1"/>
  <c r="D154" i="4" s="1"/>
  <c r="D155" i="4" s="1"/>
  <c r="D156" i="4" s="1"/>
  <c r="D157" i="4" s="1"/>
  <c r="K151" i="4"/>
  <c r="K152" i="4" s="1"/>
  <c r="K153" i="4" s="1"/>
  <c r="K154" i="4" s="1"/>
  <c r="K155" i="4" s="1"/>
  <c r="K156" i="4" s="1"/>
  <c r="K157" i="4" s="1"/>
  <c r="K158" i="4" s="1"/>
  <c r="K159" i="4" s="1"/>
  <c r="K160" i="4" s="1"/>
  <c r="K161" i="4" s="1"/>
  <c r="K162" i="4" s="1"/>
  <c r="K163" i="4" s="1"/>
  <c r="K164" i="4" s="1"/>
  <c r="J151" i="4"/>
  <c r="J152" i="4" s="1"/>
  <c r="J153" i="4" s="1"/>
  <c r="J154" i="4" s="1"/>
  <c r="J155" i="4" s="1"/>
  <c r="J156" i="4" s="1"/>
  <c r="J157" i="4" s="1"/>
  <c r="J158" i="4" s="1"/>
  <c r="J159" i="4" s="1"/>
  <c r="J160" i="4" s="1"/>
  <c r="J161" i="4" s="1"/>
  <c r="J162" i="4" s="1"/>
  <c r="J163" i="4" s="1"/>
  <c r="J164" i="4" s="1"/>
  <c r="J165" i="4" s="1"/>
  <c r="C151" i="4"/>
  <c r="B151" i="4"/>
  <c r="B152" i="4" s="1"/>
  <c r="B150" i="4"/>
  <c r="C149" i="4"/>
  <c r="C150" i="4" s="1"/>
  <c r="B148" i="4"/>
  <c r="B149" i="4" s="1"/>
  <c r="J147" i="4"/>
  <c r="J148" i="4" s="1"/>
  <c r="J149" i="4" s="1"/>
  <c r="J150" i="4" s="1"/>
  <c r="C147" i="4"/>
  <c r="C148" i="4" s="1"/>
  <c r="K146" i="4"/>
  <c r="K147" i="4" s="1"/>
  <c r="K148" i="4" s="1"/>
  <c r="K149" i="4" s="1"/>
  <c r="K150" i="4" s="1"/>
  <c r="D146" i="4"/>
  <c r="D147" i="4" s="1"/>
  <c r="D148" i="4" s="1"/>
  <c r="D149" i="4" s="1"/>
  <c r="D150" i="4" s="1"/>
  <c r="C146" i="4"/>
  <c r="P144" i="4"/>
  <c r="P145" i="4" s="1"/>
  <c r="P146" i="4" s="1"/>
  <c r="P147" i="4" s="1"/>
  <c r="C144" i="4"/>
  <c r="D144" i="4" s="1"/>
  <c r="B144" i="4"/>
  <c r="B145" i="4" s="1"/>
  <c r="B146" i="4" s="1"/>
  <c r="Q143" i="4"/>
  <c r="Q144" i="4" s="1"/>
  <c r="Q145" i="4" s="1"/>
  <c r="Q146" i="4" s="1"/>
  <c r="Q147" i="4" s="1"/>
  <c r="P143" i="4"/>
  <c r="B143" i="4"/>
  <c r="B142" i="4"/>
  <c r="D140" i="4"/>
  <c r="D141" i="4" s="1"/>
  <c r="D142" i="4" s="1"/>
  <c r="D143" i="4" s="1"/>
  <c r="C140" i="4"/>
  <c r="C141" i="4" s="1"/>
  <c r="C142" i="4" s="1"/>
  <c r="C143" i="4" s="1"/>
  <c r="P139" i="4"/>
  <c r="P140" i="4" s="1"/>
  <c r="P141" i="4" s="1"/>
  <c r="D139" i="4"/>
  <c r="P138" i="4"/>
  <c r="Q137" i="4"/>
  <c r="Q138" i="4" s="1"/>
  <c r="Q139" i="4" s="1"/>
  <c r="Q140" i="4" s="1"/>
  <c r="Q141" i="4" s="1"/>
  <c r="B137" i="4"/>
  <c r="C136" i="4"/>
  <c r="B136" i="4"/>
  <c r="D134" i="4"/>
  <c r="D135" i="4" s="1"/>
  <c r="D136" i="4" s="1"/>
  <c r="P133" i="4"/>
  <c r="P134" i="4" s="1"/>
  <c r="P135" i="4" s="1"/>
  <c r="C133" i="4"/>
  <c r="C134" i="4" s="1"/>
  <c r="C135" i="4" s="1"/>
  <c r="Q132" i="4"/>
  <c r="Q133" i="4" s="1"/>
  <c r="Q134" i="4" s="1"/>
  <c r="Q135" i="4" s="1"/>
  <c r="J132" i="4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D132" i="4"/>
  <c r="D133" i="4" s="1"/>
  <c r="P131" i="4"/>
  <c r="K130" i="4"/>
  <c r="K131" i="4" s="1"/>
  <c r="K132" i="4" s="1"/>
  <c r="K133" i="4" s="1"/>
  <c r="K134" i="4" s="1"/>
  <c r="K135" i="4" s="1"/>
  <c r="K136" i="4" s="1"/>
  <c r="K137" i="4" s="1"/>
  <c r="K138" i="4" s="1"/>
  <c r="K139" i="4" s="1"/>
  <c r="K140" i="4" s="1"/>
  <c r="K141" i="4" s="1"/>
  <c r="K142" i="4" s="1"/>
  <c r="K143" i="4" s="1"/>
  <c r="K144" i="4" s="1"/>
  <c r="J130" i="4"/>
  <c r="J131" i="4" s="1"/>
  <c r="B130" i="4"/>
  <c r="J129" i="4"/>
  <c r="P128" i="4"/>
  <c r="P129" i="4" s="1"/>
  <c r="C128" i="4"/>
  <c r="C129" i="4" s="1"/>
  <c r="J127" i="4"/>
  <c r="J128" i="4" s="1"/>
  <c r="C127" i="4"/>
  <c r="Q126" i="4"/>
  <c r="Q127" i="4" s="1"/>
  <c r="Q128" i="4" s="1"/>
  <c r="Q129" i="4" s="1"/>
  <c r="K126" i="4"/>
  <c r="K127" i="4" s="1"/>
  <c r="K128" i="4" s="1"/>
  <c r="K129" i="4" s="1"/>
  <c r="D126" i="4"/>
  <c r="D127" i="4" s="1"/>
  <c r="D128" i="4" s="1"/>
  <c r="D129" i="4" s="1"/>
  <c r="P125" i="4"/>
  <c r="P126" i="4" s="1"/>
  <c r="P123" i="4"/>
  <c r="B123" i="4"/>
  <c r="Q121" i="4"/>
  <c r="Q122" i="4" s="1"/>
  <c r="Q123" i="4" s="1"/>
  <c r="P120" i="4"/>
  <c r="P121" i="4" s="1"/>
  <c r="D120" i="4"/>
  <c r="D121" i="4" s="1"/>
  <c r="D122" i="4" s="1"/>
  <c r="C120" i="4"/>
  <c r="C121" i="4" s="1"/>
  <c r="C122" i="4" s="1"/>
  <c r="Q119" i="4"/>
  <c r="P119" i="4"/>
  <c r="D119" i="4"/>
  <c r="B116" i="4"/>
  <c r="B117" i="4" s="1"/>
  <c r="B118" i="4" s="1"/>
  <c r="B119" i="4" s="1"/>
  <c r="B120" i="4" s="1"/>
  <c r="B121" i="4" s="1"/>
  <c r="B122" i="4" s="1"/>
  <c r="Q115" i="4"/>
  <c r="Q116" i="4" s="1"/>
  <c r="Q117" i="4" s="1"/>
  <c r="P114" i="4"/>
  <c r="P115" i="4" s="1"/>
  <c r="P116" i="4" s="1"/>
  <c r="D114" i="4"/>
  <c r="D115" i="4" s="1"/>
  <c r="C114" i="4"/>
  <c r="C115" i="4" s="1"/>
  <c r="Q113" i="4"/>
  <c r="P113" i="4"/>
  <c r="D113" i="4"/>
  <c r="Q111" i="4"/>
  <c r="C111" i="4"/>
  <c r="C112" i="4" s="1"/>
  <c r="Q110" i="4"/>
  <c r="C110" i="4"/>
  <c r="B110" i="4"/>
  <c r="B111" i="4" s="1"/>
  <c r="B112" i="4" s="1"/>
  <c r="B113" i="4" s="1"/>
  <c r="B114" i="4" s="1"/>
  <c r="B115" i="4" s="1"/>
  <c r="J109" i="4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D109" i="4"/>
  <c r="D110" i="4" s="1"/>
  <c r="C109" i="4"/>
  <c r="B109" i="4"/>
  <c r="Q108" i="4"/>
  <c r="P108" i="4"/>
  <c r="P109" i="4" s="1"/>
  <c r="P110" i="4" s="1"/>
  <c r="P111" i="4" s="1"/>
  <c r="C108" i="4"/>
  <c r="Q107" i="4"/>
  <c r="P107" i="4"/>
  <c r="K107" i="4"/>
  <c r="K108" i="4" s="1"/>
  <c r="J107" i="4"/>
  <c r="J108" i="4" s="1"/>
  <c r="C107" i="4"/>
  <c r="K106" i="4"/>
  <c r="D106" i="4"/>
  <c r="D107" i="4" s="1"/>
  <c r="D108" i="4" s="1"/>
  <c r="Q105" i="4"/>
  <c r="Q104" i="4"/>
  <c r="P103" i="4"/>
  <c r="P104" i="4" s="1"/>
  <c r="P105" i="4" s="1"/>
  <c r="P102" i="4"/>
  <c r="B102" i="4"/>
  <c r="B103" i="4" s="1"/>
  <c r="B104" i="4" s="1"/>
  <c r="B105" i="4" s="1"/>
  <c r="B106" i="4" s="1"/>
  <c r="B107" i="4" s="1"/>
  <c r="B108" i="4" s="1"/>
  <c r="Q101" i="4"/>
  <c r="Q102" i="4" s="1"/>
  <c r="P101" i="4"/>
  <c r="C101" i="4"/>
  <c r="Q99" i="4"/>
  <c r="D99" i="4"/>
  <c r="D100" i="4" s="1"/>
  <c r="D101" i="4" s="1"/>
  <c r="Q97" i="4"/>
  <c r="Q96" i="4"/>
  <c r="P96" i="4"/>
  <c r="P97" i="4" s="1"/>
  <c r="P98" i="4" s="1"/>
  <c r="P99" i="4" s="1"/>
  <c r="Q95" i="4"/>
  <c r="P95" i="4"/>
  <c r="B95" i="4"/>
  <c r="B96" i="4" s="1"/>
  <c r="B97" i="4" s="1"/>
  <c r="B98" i="4" s="1"/>
  <c r="B99" i="4" s="1"/>
  <c r="B100" i="4" s="1"/>
  <c r="B101" i="4" s="1"/>
  <c r="C94" i="4"/>
  <c r="Q93" i="4"/>
  <c r="D92" i="4"/>
  <c r="D93" i="4" s="1"/>
  <c r="D94" i="4" s="1"/>
  <c r="Q90" i="4"/>
  <c r="Q91" i="4" s="1"/>
  <c r="Q89" i="4"/>
  <c r="P89" i="4"/>
  <c r="P90" i="4" s="1"/>
  <c r="P91" i="4" s="1"/>
  <c r="P92" i="4" s="1"/>
  <c r="P93" i="4" s="1"/>
  <c r="C89" i="4"/>
  <c r="C90" i="4" s="1"/>
  <c r="C91" i="4" s="1"/>
  <c r="C92" i="4" s="1"/>
  <c r="B89" i="4"/>
  <c r="B90" i="4" s="1"/>
  <c r="B91" i="4" s="1"/>
  <c r="B92" i="4" s="1"/>
  <c r="B93" i="4" s="1"/>
  <c r="B94" i="4" s="1"/>
  <c r="J88" i="4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D88" i="4"/>
  <c r="D89" i="4" s="1"/>
  <c r="D90" i="4" s="1"/>
  <c r="C88" i="4"/>
  <c r="B88" i="4"/>
  <c r="K87" i="4"/>
  <c r="J87" i="4"/>
  <c r="K86" i="4"/>
  <c r="D86" i="4"/>
  <c r="D87" i="4" s="1"/>
  <c r="Q84" i="4"/>
  <c r="Q85" i="4" s="1"/>
  <c r="Q86" i="4" s="1"/>
  <c r="P84" i="4"/>
  <c r="P85" i="4" s="1"/>
  <c r="P86" i="4" s="1"/>
  <c r="P87" i="4" s="1"/>
  <c r="Q83" i="4"/>
  <c r="P83" i="4"/>
  <c r="B81" i="4"/>
  <c r="B82" i="4" s="1"/>
  <c r="B83" i="4" s="1"/>
  <c r="B84" i="4" s="1"/>
  <c r="B85" i="4" s="1"/>
  <c r="B86" i="4" s="1"/>
  <c r="B87" i="4" s="1"/>
  <c r="D80" i="4"/>
  <c r="D79" i="4"/>
  <c r="Q77" i="4"/>
  <c r="Q78" i="4" s="1"/>
  <c r="Q79" i="4" s="1"/>
  <c r="Q80" i="4" s="1"/>
  <c r="P77" i="4"/>
  <c r="P78" i="4" s="1"/>
  <c r="P79" i="4" s="1"/>
  <c r="P80" i="4" s="1"/>
  <c r="P81" i="4" s="1"/>
  <c r="B74" i="4"/>
  <c r="B75" i="4" s="1"/>
  <c r="B76" i="4" s="1"/>
  <c r="B77" i="4" s="1"/>
  <c r="B78" i="4" s="1"/>
  <c r="B79" i="4" s="1"/>
  <c r="B80" i="4" s="1"/>
  <c r="Q72" i="4"/>
  <c r="Q73" i="4" s="1"/>
  <c r="Q74" i="4" s="1"/>
  <c r="Q75" i="4" s="1"/>
  <c r="D72" i="4"/>
  <c r="D73" i="4" s="1"/>
  <c r="Q71" i="4"/>
  <c r="P71" i="4"/>
  <c r="P72" i="4" s="1"/>
  <c r="P73" i="4" s="1"/>
  <c r="P74" i="4" s="1"/>
  <c r="P75" i="4" s="1"/>
  <c r="B69" i="4"/>
  <c r="B70" i="4" s="1"/>
  <c r="B71" i="4" s="1"/>
  <c r="B72" i="4" s="1"/>
  <c r="B73" i="4" s="1"/>
  <c r="J68" i="4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B68" i="4"/>
  <c r="Q67" i="4"/>
  <c r="Q68" i="4" s="1"/>
  <c r="Q69" i="4" s="1"/>
  <c r="J67" i="4"/>
  <c r="K67" i="4" s="1"/>
  <c r="K68" i="4" s="1"/>
  <c r="K69" i="4" s="1"/>
  <c r="K70" i="4" s="1"/>
  <c r="K71" i="4" s="1"/>
  <c r="K72" i="4" s="1"/>
  <c r="K73" i="4" s="1"/>
  <c r="K74" i="4" s="1"/>
  <c r="K75" i="4" s="1"/>
  <c r="K76" i="4" s="1"/>
  <c r="K77" i="4" s="1"/>
  <c r="K78" i="4" s="1"/>
  <c r="K79" i="4" s="1"/>
  <c r="K80" i="4" s="1"/>
  <c r="K81" i="4" s="1"/>
  <c r="K82" i="4" s="1"/>
  <c r="K83" i="4" s="1"/>
  <c r="K84" i="4" s="1"/>
  <c r="D67" i="4"/>
  <c r="D68" i="4" s="1"/>
  <c r="D69" i="4" s="1"/>
  <c r="D70" i="4" s="1"/>
  <c r="C67" i="4"/>
  <c r="C68" i="4" s="1"/>
  <c r="C69" i="4" s="1"/>
  <c r="C70" i="4" s="1"/>
  <c r="C71" i="4" s="1"/>
  <c r="C72" i="4" s="1"/>
  <c r="C73" i="4" s="1"/>
  <c r="B67" i="4"/>
  <c r="P66" i="4"/>
  <c r="P67" i="4" s="1"/>
  <c r="P68" i="4" s="1"/>
  <c r="P69" i="4" s="1"/>
  <c r="D66" i="4"/>
  <c r="Q65" i="4"/>
  <c r="Q66" i="4" s="1"/>
  <c r="P65" i="4"/>
  <c r="B62" i="4"/>
  <c r="B63" i="4" s="1"/>
  <c r="B64" i="4" s="1"/>
  <c r="B65" i="4" s="1"/>
  <c r="B66" i="4" s="1"/>
  <c r="C61" i="4"/>
  <c r="C62" i="4" s="1"/>
  <c r="C63" i="4" s="1"/>
  <c r="C64" i="4" s="1"/>
  <c r="C65" i="4" s="1"/>
  <c r="C66" i="4" s="1"/>
  <c r="B61" i="4"/>
  <c r="D60" i="4"/>
  <c r="D61" i="4" s="1"/>
  <c r="D62" i="4" s="1"/>
  <c r="D63" i="4" s="1"/>
  <c r="D64" i="4" s="1"/>
  <c r="C60" i="4"/>
  <c r="B60" i="4"/>
  <c r="Q59" i="4"/>
  <c r="Q60" i="4" s="1"/>
  <c r="Q61" i="4" s="1"/>
  <c r="Q62" i="4" s="1"/>
  <c r="Q63" i="4" s="1"/>
  <c r="P59" i="4"/>
  <c r="P60" i="4" s="1"/>
  <c r="P61" i="4" s="1"/>
  <c r="P62" i="4" s="1"/>
  <c r="P63" i="4" s="1"/>
  <c r="D59" i="4"/>
  <c r="Q55" i="4"/>
  <c r="Q56" i="4" s="1"/>
  <c r="Q57" i="4" s="1"/>
  <c r="B55" i="4"/>
  <c r="B56" i="4" s="1"/>
  <c r="B57" i="4" s="1"/>
  <c r="B58" i="4" s="1"/>
  <c r="B59" i="4" s="1"/>
  <c r="Q53" i="4"/>
  <c r="Q54" i="4" s="1"/>
  <c r="P53" i="4"/>
  <c r="P54" i="4" s="1"/>
  <c r="P55" i="4" s="1"/>
  <c r="P56" i="4" s="1"/>
  <c r="P57" i="4" s="1"/>
  <c r="B53" i="4"/>
  <c r="B54" i="4" s="1"/>
  <c r="D52" i="4"/>
  <c r="Q48" i="4"/>
  <c r="Q49" i="4" s="1"/>
  <c r="Q50" i="4" s="1"/>
  <c r="Q51" i="4" s="1"/>
  <c r="Q47" i="4"/>
  <c r="P47" i="4"/>
  <c r="P48" i="4" s="1"/>
  <c r="P49" i="4" s="1"/>
  <c r="P50" i="4" s="1"/>
  <c r="P51" i="4" s="1"/>
  <c r="B46" i="4"/>
  <c r="P42" i="4"/>
  <c r="P43" i="4" s="1"/>
  <c r="P44" i="4" s="1"/>
  <c r="P45" i="4" s="1"/>
  <c r="Q41" i="4"/>
  <c r="Q42" i="4" s="1"/>
  <c r="Q43" i="4" s="1"/>
  <c r="Q44" i="4" s="1"/>
  <c r="Q45" i="4" s="1"/>
  <c r="P41" i="4"/>
  <c r="Q39" i="4"/>
  <c r="B39" i="4"/>
  <c r="Q35" i="4"/>
  <c r="Q36" i="4" s="1"/>
  <c r="Q37" i="4" s="1"/>
  <c r="Q38" i="4" s="1"/>
  <c r="P35" i="4"/>
  <c r="P36" i="4" s="1"/>
  <c r="P37" i="4" s="1"/>
  <c r="P38" i="4" s="1"/>
  <c r="P39" i="4" s="1"/>
  <c r="B32" i="4"/>
  <c r="Q29" i="4"/>
  <c r="Q30" i="4" s="1"/>
  <c r="Q31" i="4" s="1"/>
  <c r="Q32" i="4" s="1"/>
  <c r="Q33" i="4" s="1"/>
  <c r="P29" i="4"/>
  <c r="P30" i="4" s="1"/>
  <c r="P31" i="4" s="1"/>
  <c r="P32" i="4" s="1"/>
  <c r="P33" i="4" s="1"/>
  <c r="Q25" i="4"/>
  <c r="Q26" i="4" s="1"/>
  <c r="Q27" i="4" s="1"/>
  <c r="B25" i="4"/>
  <c r="Q23" i="4"/>
  <c r="Q24" i="4" s="1"/>
  <c r="P23" i="4"/>
  <c r="P24" i="4" s="1"/>
  <c r="P25" i="4" s="1"/>
  <c r="P26" i="4" s="1"/>
  <c r="P27" i="4" s="1"/>
  <c r="Q20" i="4"/>
  <c r="Q21" i="4" s="1"/>
  <c r="Q18" i="4"/>
  <c r="B18" i="4"/>
  <c r="Q17" i="4"/>
  <c r="P17" i="4"/>
  <c r="P18" i="4" s="1"/>
  <c r="P19" i="4" s="1"/>
  <c r="P20" i="4" s="1"/>
  <c r="P21" i="4" s="1"/>
  <c r="B16" i="4"/>
  <c r="B17" i="4" s="1"/>
  <c r="Q12" i="4"/>
  <c r="Q13" i="4" s="1"/>
  <c r="Q14" i="4" s="1"/>
  <c r="Q15" i="4" s="1"/>
  <c r="B12" i="4"/>
  <c r="B13" i="4" s="1"/>
  <c r="B14" i="4" s="1"/>
  <c r="B15" i="4" s="1"/>
  <c r="Q11" i="4"/>
  <c r="P11" i="4"/>
  <c r="P12" i="4" s="1"/>
  <c r="P13" i="4" s="1"/>
  <c r="P14" i="4" s="1"/>
  <c r="P15" i="4" s="1"/>
  <c r="C11" i="4"/>
  <c r="B11" i="4"/>
  <c r="Q6" i="4"/>
  <c r="Q7" i="4" s="1"/>
  <c r="Q8" i="4" s="1"/>
  <c r="Q9" i="4" s="1"/>
  <c r="Q5" i="4"/>
  <c r="P5" i="4"/>
  <c r="P6" i="4" s="1"/>
  <c r="P7" i="4" s="1"/>
  <c r="P8" i="4" s="1"/>
  <c r="P9" i="4" s="1"/>
  <c r="B4" i="4"/>
  <c r="J487" i="3"/>
  <c r="K487" i="3" s="1"/>
  <c r="K488" i="3" s="1"/>
  <c r="K489" i="3" s="1"/>
  <c r="K490" i="3" s="1"/>
  <c r="K491" i="3" s="1"/>
  <c r="K492" i="3" s="1"/>
  <c r="K493" i="3" s="1"/>
  <c r="K494" i="3" s="1"/>
  <c r="K495" i="3" s="1"/>
  <c r="K496" i="3" s="1"/>
  <c r="K497" i="3" s="1"/>
  <c r="K498" i="3" s="1"/>
  <c r="K499" i="3" s="1"/>
  <c r="K500" i="3" s="1"/>
  <c r="K501" i="3" s="1"/>
  <c r="K502" i="3" s="1"/>
  <c r="K503" i="3" s="1"/>
  <c r="K504" i="3" s="1"/>
  <c r="K505" i="3" s="1"/>
  <c r="K506" i="3" s="1"/>
  <c r="K507" i="3" s="1"/>
  <c r="K467" i="3"/>
  <c r="K468" i="3" s="1"/>
  <c r="K469" i="3" s="1"/>
  <c r="K470" i="3" s="1"/>
  <c r="K471" i="3" s="1"/>
  <c r="K472" i="3" s="1"/>
  <c r="K473" i="3" s="1"/>
  <c r="K474" i="3" s="1"/>
  <c r="K475" i="3" s="1"/>
  <c r="K476" i="3" s="1"/>
  <c r="K477" i="3" s="1"/>
  <c r="K478" i="3" s="1"/>
  <c r="K479" i="3" s="1"/>
  <c r="K480" i="3" s="1"/>
  <c r="K481" i="3" s="1"/>
  <c r="K482" i="3" s="1"/>
  <c r="K483" i="3" s="1"/>
  <c r="K484" i="3" s="1"/>
  <c r="K485" i="3" s="1"/>
  <c r="K486" i="3" s="1"/>
  <c r="J467" i="3"/>
  <c r="J468" i="3" s="1"/>
  <c r="J469" i="3" s="1"/>
  <c r="J470" i="3" s="1"/>
  <c r="J471" i="3" s="1"/>
  <c r="J472" i="3" s="1"/>
  <c r="J473" i="3" s="1"/>
  <c r="J474" i="3" s="1"/>
  <c r="J475" i="3" s="1"/>
  <c r="J476" i="3" s="1"/>
  <c r="J477" i="3" s="1"/>
  <c r="J478" i="3" s="1"/>
  <c r="J479" i="3" s="1"/>
  <c r="J480" i="3" s="1"/>
  <c r="J481" i="3" s="1"/>
  <c r="J482" i="3" s="1"/>
  <c r="J483" i="3" s="1"/>
  <c r="J484" i="3" s="1"/>
  <c r="J485" i="3" s="1"/>
  <c r="J486" i="3" s="1"/>
  <c r="J447" i="3"/>
  <c r="J448" i="3" s="1"/>
  <c r="J449" i="3" s="1"/>
  <c r="J450" i="3" s="1"/>
  <c r="J451" i="3" s="1"/>
  <c r="J452" i="3" s="1"/>
  <c r="J453" i="3" s="1"/>
  <c r="J454" i="3" s="1"/>
  <c r="J455" i="3" s="1"/>
  <c r="J456" i="3" s="1"/>
  <c r="J457" i="3" s="1"/>
  <c r="J458" i="3" s="1"/>
  <c r="J459" i="3" s="1"/>
  <c r="J460" i="3" s="1"/>
  <c r="J461" i="3" s="1"/>
  <c r="J462" i="3" s="1"/>
  <c r="J463" i="3" s="1"/>
  <c r="J464" i="3" s="1"/>
  <c r="J465" i="3" s="1"/>
  <c r="K446" i="3"/>
  <c r="K447" i="3" s="1"/>
  <c r="K448" i="3" s="1"/>
  <c r="K449" i="3" s="1"/>
  <c r="K450" i="3" s="1"/>
  <c r="K451" i="3" s="1"/>
  <c r="K452" i="3" s="1"/>
  <c r="K453" i="3" s="1"/>
  <c r="K454" i="3" s="1"/>
  <c r="K455" i="3" s="1"/>
  <c r="K456" i="3" s="1"/>
  <c r="K457" i="3" s="1"/>
  <c r="K458" i="3" s="1"/>
  <c r="K459" i="3" s="1"/>
  <c r="K460" i="3" s="1"/>
  <c r="K461" i="3" s="1"/>
  <c r="K462" i="3" s="1"/>
  <c r="K463" i="3" s="1"/>
  <c r="K464" i="3" s="1"/>
  <c r="K465" i="3" s="1"/>
  <c r="J445" i="3"/>
  <c r="J427" i="3"/>
  <c r="J428" i="3" s="1"/>
  <c r="J429" i="3" s="1"/>
  <c r="J430" i="3" s="1"/>
  <c r="J431" i="3" s="1"/>
  <c r="J432" i="3" s="1"/>
  <c r="J433" i="3" s="1"/>
  <c r="J434" i="3" s="1"/>
  <c r="J435" i="3" s="1"/>
  <c r="J436" i="3" s="1"/>
  <c r="J437" i="3" s="1"/>
  <c r="J438" i="3" s="1"/>
  <c r="J439" i="3" s="1"/>
  <c r="J440" i="3" s="1"/>
  <c r="J441" i="3" s="1"/>
  <c r="J442" i="3" s="1"/>
  <c r="J443" i="3" s="1"/>
  <c r="J444" i="3" s="1"/>
  <c r="K426" i="3"/>
  <c r="K427" i="3" s="1"/>
  <c r="K428" i="3" s="1"/>
  <c r="K429" i="3" s="1"/>
  <c r="K430" i="3" s="1"/>
  <c r="K431" i="3" s="1"/>
  <c r="K432" i="3" s="1"/>
  <c r="K433" i="3" s="1"/>
  <c r="K434" i="3" s="1"/>
  <c r="K435" i="3" s="1"/>
  <c r="K436" i="3" s="1"/>
  <c r="K437" i="3" s="1"/>
  <c r="K438" i="3" s="1"/>
  <c r="K439" i="3" s="1"/>
  <c r="K440" i="3" s="1"/>
  <c r="K441" i="3" s="1"/>
  <c r="K442" i="3" s="1"/>
  <c r="K443" i="3" s="1"/>
  <c r="K444" i="3" s="1"/>
  <c r="J424" i="3"/>
  <c r="K424" i="3" s="1"/>
  <c r="J407" i="3"/>
  <c r="J408" i="3" s="1"/>
  <c r="J409" i="3" s="1"/>
  <c r="J410" i="3" s="1"/>
  <c r="J411" i="3" s="1"/>
  <c r="J412" i="3" s="1"/>
  <c r="J413" i="3" s="1"/>
  <c r="J414" i="3" s="1"/>
  <c r="J415" i="3" s="1"/>
  <c r="J416" i="3" s="1"/>
  <c r="J417" i="3" s="1"/>
  <c r="J418" i="3" s="1"/>
  <c r="J419" i="3" s="1"/>
  <c r="J420" i="3" s="1"/>
  <c r="J421" i="3" s="1"/>
  <c r="J422" i="3" s="1"/>
  <c r="J423" i="3" s="1"/>
  <c r="K406" i="3"/>
  <c r="K407" i="3" s="1"/>
  <c r="K408" i="3" s="1"/>
  <c r="K409" i="3" s="1"/>
  <c r="K410" i="3" s="1"/>
  <c r="K411" i="3" s="1"/>
  <c r="K412" i="3" s="1"/>
  <c r="K413" i="3" s="1"/>
  <c r="K414" i="3" s="1"/>
  <c r="K415" i="3" s="1"/>
  <c r="K416" i="3" s="1"/>
  <c r="K417" i="3" s="1"/>
  <c r="K418" i="3" s="1"/>
  <c r="K419" i="3" s="1"/>
  <c r="K420" i="3" s="1"/>
  <c r="K421" i="3" s="1"/>
  <c r="K422" i="3" s="1"/>
  <c r="K423" i="3" s="1"/>
  <c r="J403" i="3"/>
  <c r="K403" i="3" s="1"/>
  <c r="K404" i="3" s="1"/>
  <c r="J387" i="3"/>
  <c r="J388" i="3" s="1"/>
  <c r="J389" i="3" s="1"/>
  <c r="J390" i="3" s="1"/>
  <c r="J391" i="3" s="1"/>
  <c r="J392" i="3" s="1"/>
  <c r="J393" i="3" s="1"/>
  <c r="J394" i="3" s="1"/>
  <c r="J395" i="3" s="1"/>
  <c r="J396" i="3" s="1"/>
  <c r="J397" i="3" s="1"/>
  <c r="J398" i="3" s="1"/>
  <c r="J399" i="3" s="1"/>
  <c r="J400" i="3" s="1"/>
  <c r="J401" i="3" s="1"/>
  <c r="J402" i="3" s="1"/>
  <c r="K386" i="3"/>
  <c r="K387" i="3" s="1"/>
  <c r="K388" i="3" s="1"/>
  <c r="K389" i="3" s="1"/>
  <c r="K390" i="3" s="1"/>
  <c r="K391" i="3" s="1"/>
  <c r="K392" i="3" s="1"/>
  <c r="K393" i="3" s="1"/>
  <c r="K394" i="3" s="1"/>
  <c r="K395" i="3" s="1"/>
  <c r="K396" i="3" s="1"/>
  <c r="K397" i="3" s="1"/>
  <c r="K398" i="3" s="1"/>
  <c r="K399" i="3" s="1"/>
  <c r="K400" i="3" s="1"/>
  <c r="K401" i="3" s="1"/>
  <c r="K402" i="3" s="1"/>
  <c r="J382" i="3"/>
  <c r="K382" i="3" s="1"/>
  <c r="K383" i="3" s="1"/>
  <c r="K384" i="3" s="1"/>
  <c r="J367" i="3"/>
  <c r="J368" i="3" s="1"/>
  <c r="J369" i="3" s="1"/>
  <c r="J370" i="3" s="1"/>
  <c r="J371" i="3" s="1"/>
  <c r="J372" i="3" s="1"/>
  <c r="J373" i="3" s="1"/>
  <c r="J374" i="3" s="1"/>
  <c r="J375" i="3" s="1"/>
  <c r="J376" i="3" s="1"/>
  <c r="J377" i="3" s="1"/>
  <c r="J378" i="3" s="1"/>
  <c r="J379" i="3" s="1"/>
  <c r="J380" i="3" s="1"/>
  <c r="J381" i="3" s="1"/>
  <c r="K366" i="3"/>
  <c r="K367" i="3" s="1"/>
  <c r="K368" i="3" s="1"/>
  <c r="K369" i="3" s="1"/>
  <c r="K370" i="3" s="1"/>
  <c r="K371" i="3" s="1"/>
  <c r="K372" i="3" s="1"/>
  <c r="K373" i="3" s="1"/>
  <c r="K374" i="3" s="1"/>
  <c r="K375" i="3" s="1"/>
  <c r="K376" i="3" s="1"/>
  <c r="K377" i="3" s="1"/>
  <c r="K378" i="3" s="1"/>
  <c r="K379" i="3" s="1"/>
  <c r="K380" i="3" s="1"/>
  <c r="K381" i="3" s="1"/>
  <c r="J361" i="3"/>
  <c r="K361" i="3" s="1"/>
  <c r="K362" i="3" s="1"/>
  <c r="K363" i="3" s="1"/>
  <c r="K364" i="3" s="1"/>
  <c r="J347" i="3"/>
  <c r="J348" i="3" s="1"/>
  <c r="J349" i="3" s="1"/>
  <c r="J350" i="3" s="1"/>
  <c r="J351" i="3" s="1"/>
  <c r="J352" i="3" s="1"/>
  <c r="J353" i="3" s="1"/>
  <c r="J354" i="3" s="1"/>
  <c r="J355" i="3" s="1"/>
  <c r="J356" i="3" s="1"/>
  <c r="J357" i="3" s="1"/>
  <c r="J358" i="3" s="1"/>
  <c r="J359" i="3" s="1"/>
  <c r="J360" i="3" s="1"/>
  <c r="K346" i="3"/>
  <c r="K347" i="3" s="1"/>
  <c r="K348" i="3" s="1"/>
  <c r="K349" i="3" s="1"/>
  <c r="K350" i="3" s="1"/>
  <c r="K351" i="3" s="1"/>
  <c r="K352" i="3" s="1"/>
  <c r="K353" i="3" s="1"/>
  <c r="K354" i="3" s="1"/>
  <c r="K355" i="3" s="1"/>
  <c r="K356" i="3" s="1"/>
  <c r="K357" i="3" s="1"/>
  <c r="K358" i="3" s="1"/>
  <c r="K359" i="3" s="1"/>
  <c r="K360" i="3" s="1"/>
  <c r="J340" i="3"/>
  <c r="K340" i="3" s="1"/>
  <c r="K341" i="3" s="1"/>
  <c r="K342" i="3" s="1"/>
  <c r="K343" i="3" s="1"/>
  <c r="K344" i="3" s="1"/>
  <c r="J327" i="3"/>
  <c r="J328" i="3" s="1"/>
  <c r="J329" i="3" s="1"/>
  <c r="J330" i="3" s="1"/>
  <c r="J331" i="3" s="1"/>
  <c r="J332" i="3" s="1"/>
  <c r="J333" i="3" s="1"/>
  <c r="J334" i="3" s="1"/>
  <c r="J335" i="3" s="1"/>
  <c r="J336" i="3" s="1"/>
  <c r="J337" i="3" s="1"/>
  <c r="J338" i="3" s="1"/>
  <c r="J339" i="3" s="1"/>
  <c r="K326" i="3"/>
  <c r="K327" i="3" s="1"/>
  <c r="K328" i="3" s="1"/>
  <c r="K329" i="3" s="1"/>
  <c r="K330" i="3" s="1"/>
  <c r="K331" i="3" s="1"/>
  <c r="K332" i="3" s="1"/>
  <c r="K333" i="3" s="1"/>
  <c r="K334" i="3" s="1"/>
  <c r="K335" i="3" s="1"/>
  <c r="K336" i="3" s="1"/>
  <c r="K337" i="3" s="1"/>
  <c r="K338" i="3" s="1"/>
  <c r="K339" i="3" s="1"/>
  <c r="J319" i="3"/>
  <c r="J320" i="3" s="1"/>
  <c r="J321" i="3" s="1"/>
  <c r="J322" i="3" s="1"/>
  <c r="J323" i="3" s="1"/>
  <c r="J324" i="3" s="1"/>
  <c r="J325" i="3" s="1"/>
  <c r="J307" i="3"/>
  <c r="J308" i="3" s="1"/>
  <c r="J309" i="3" s="1"/>
  <c r="J310" i="3" s="1"/>
  <c r="J311" i="3" s="1"/>
  <c r="J312" i="3" s="1"/>
  <c r="J313" i="3" s="1"/>
  <c r="J314" i="3" s="1"/>
  <c r="J315" i="3" s="1"/>
  <c r="J316" i="3" s="1"/>
  <c r="J317" i="3" s="1"/>
  <c r="J318" i="3" s="1"/>
  <c r="K306" i="3"/>
  <c r="K307" i="3" s="1"/>
  <c r="K308" i="3" s="1"/>
  <c r="K309" i="3" s="1"/>
  <c r="K310" i="3" s="1"/>
  <c r="K311" i="3" s="1"/>
  <c r="K312" i="3" s="1"/>
  <c r="K313" i="3" s="1"/>
  <c r="K314" i="3" s="1"/>
  <c r="K315" i="3" s="1"/>
  <c r="K316" i="3" s="1"/>
  <c r="K317" i="3" s="1"/>
  <c r="K318" i="3" s="1"/>
  <c r="J298" i="3"/>
  <c r="J299" i="3" s="1"/>
  <c r="J300" i="3" s="1"/>
  <c r="J301" i="3" s="1"/>
  <c r="J302" i="3" s="1"/>
  <c r="J303" i="3" s="1"/>
  <c r="J304" i="3" s="1"/>
  <c r="J305" i="3" s="1"/>
  <c r="K287" i="3"/>
  <c r="K288" i="3" s="1"/>
  <c r="K289" i="3" s="1"/>
  <c r="K290" i="3" s="1"/>
  <c r="K291" i="3" s="1"/>
  <c r="K292" i="3" s="1"/>
  <c r="K293" i="3" s="1"/>
  <c r="K294" i="3" s="1"/>
  <c r="K295" i="3" s="1"/>
  <c r="K296" i="3" s="1"/>
  <c r="K297" i="3" s="1"/>
  <c r="J287" i="3"/>
  <c r="J288" i="3" s="1"/>
  <c r="J289" i="3" s="1"/>
  <c r="J290" i="3" s="1"/>
  <c r="J291" i="3" s="1"/>
  <c r="J292" i="3" s="1"/>
  <c r="J293" i="3" s="1"/>
  <c r="J294" i="3" s="1"/>
  <c r="J295" i="3" s="1"/>
  <c r="J296" i="3" s="1"/>
  <c r="J297" i="3" s="1"/>
  <c r="K286" i="3"/>
  <c r="J277" i="3"/>
  <c r="J278" i="3" s="1"/>
  <c r="J279" i="3" s="1"/>
  <c r="J280" i="3" s="1"/>
  <c r="J281" i="3" s="1"/>
  <c r="J282" i="3" s="1"/>
  <c r="J283" i="3" s="1"/>
  <c r="J284" i="3" s="1"/>
  <c r="J285" i="3" s="1"/>
  <c r="J267" i="3"/>
  <c r="J268" i="3" s="1"/>
  <c r="J269" i="3" s="1"/>
  <c r="J270" i="3" s="1"/>
  <c r="J271" i="3" s="1"/>
  <c r="J272" i="3" s="1"/>
  <c r="J273" i="3" s="1"/>
  <c r="J274" i="3" s="1"/>
  <c r="J275" i="3" s="1"/>
  <c r="J276" i="3" s="1"/>
  <c r="K266" i="3"/>
  <c r="K267" i="3" s="1"/>
  <c r="K268" i="3" s="1"/>
  <c r="K269" i="3" s="1"/>
  <c r="K270" i="3" s="1"/>
  <c r="K271" i="3" s="1"/>
  <c r="K272" i="3" s="1"/>
  <c r="K273" i="3" s="1"/>
  <c r="K274" i="3" s="1"/>
  <c r="K275" i="3" s="1"/>
  <c r="K276" i="3" s="1"/>
  <c r="J256" i="3"/>
  <c r="J257" i="3" s="1"/>
  <c r="J258" i="3" s="1"/>
  <c r="J259" i="3" s="1"/>
  <c r="J260" i="3" s="1"/>
  <c r="J261" i="3" s="1"/>
  <c r="J262" i="3" s="1"/>
  <c r="J263" i="3" s="1"/>
  <c r="J264" i="3" s="1"/>
  <c r="J265" i="3" s="1"/>
  <c r="K247" i="3"/>
  <c r="K248" i="3" s="1"/>
  <c r="K249" i="3" s="1"/>
  <c r="K250" i="3" s="1"/>
  <c r="K251" i="3" s="1"/>
  <c r="K252" i="3" s="1"/>
  <c r="K253" i="3" s="1"/>
  <c r="K254" i="3" s="1"/>
  <c r="K255" i="3" s="1"/>
  <c r="J247" i="3"/>
  <c r="J248" i="3" s="1"/>
  <c r="J249" i="3" s="1"/>
  <c r="J250" i="3" s="1"/>
  <c r="J251" i="3" s="1"/>
  <c r="J252" i="3" s="1"/>
  <c r="J253" i="3" s="1"/>
  <c r="J254" i="3" s="1"/>
  <c r="J255" i="3" s="1"/>
  <c r="K246" i="3"/>
  <c r="J235" i="3"/>
  <c r="J236" i="3" s="1"/>
  <c r="J237" i="3" s="1"/>
  <c r="J238" i="3" s="1"/>
  <c r="J239" i="3" s="1"/>
  <c r="J240" i="3" s="1"/>
  <c r="J241" i="3" s="1"/>
  <c r="J242" i="3" s="1"/>
  <c r="J243" i="3" s="1"/>
  <c r="J244" i="3" s="1"/>
  <c r="J245" i="3" s="1"/>
  <c r="J227" i="3"/>
  <c r="J228" i="3" s="1"/>
  <c r="J229" i="3" s="1"/>
  <c r="J230" i="3" s="1"/>
  <c r="J231" i="3" s="1"/>
  <c r="J232" i="3" s="1"/>
  <c r="J233" i="3" s="1"/>
  <c r="J234" i="3" s="1"/>
  <c r="K226" i="3"/>
  <c r="K227" i="3" s="1"/>
  <c r="K228" i="3" s="1"/>
  <c r="K229" i="3" s="1"/>
  <c r="K230" i="3" s="1"/>
  <c r="K231" i="3" s="1"/>
  <c r="K232" i="3" s="1"/>
  <c r="K233" i="3" s="1"/>
  <c r="K234" i="3" s="1"/>
  <c r="J214" i="3"/>
  <c r="J215" i="3" s="1"/>
  <c r="J216" i="3" s="1"/>
  <c r="J217" i="3" s="1"/>
  <c r="J218" i="3" s="1"/>
  <c r="J219" i="3" s="1"/>
  <c r="J220" i="3" s="1"/>
  <c r="J221" i="3" s="1"/>
  <c r="J222" i="3" s="1"/>
  <c r="J223" i="3" s="1"/>
  <c r="J224" i="3" s="1"/>
  <c r="J225" i="3" s="1"/>
  <c r="J207" i="3"/>
  <c r="J208" i="3" s="1"/>
  <c r="J209" i="3" s="1"/>
  <c r="J210" i="3" s="1"/>
  <c r="J211" i="3" s="1"/>
  <c r="J212" i="3" s="1"/>
  <c r="J213" i="3" s="1"/>
  <c r="K206" i="3"/>
  <c r="K207" i="3" s="1"/>
  <c r="K208" i="3" s="1"/>
  <c r="K209" i="3" s="1"/>
  <c r="K210" i="3" s="1"/>
  <c r="K211" i="3" s="1"/>
  <c r="K212" i="3" s="1"/>
  <c r="K213" i="3" s="1"/>
  <c r="J193" i="3"/>
  <c r="J194" i="3" s="1"/>
  <c r="J195" i="3" s="1"/>
  <c r="J196" i="3" s="1"/>
  <c r="J197" i="3" s="1"/>
  <c r="J198" i="3" s="1"/>
  <c r="J199" i="3" s="1"/>
  <c r="J200" i="3" s="1"/>
  <c r="J201" i="3" s="1"/>
  <c r="J202" i="3" s="1"/>
  <c r="J203" i="3" s="1"/>
  <c r="J204" i="3" s="1"/>
  <c r="J205" i="3" s="1"/>
  <c r="J187" i="3"/>
  <c r="J188" i="3" s="1"/>
  <c r="J189" i="3" s="1"/>
  <c r="J190" i="3" s="1"/>
  <c r="J191" i="3" s="1"/>
  <c r="J192" i="3" s="1"/>
  <c r="K186" i="3"/>
  <c r="K187" i="3" s="1"/>
  <c r="K188" i="3" s="1"/>
  <c r="K189" i="3" s="1"/>
  <c r="K190" i="3" s="1"/>
  <c r="K191" i="3" s="1"/>
  <c r="K192" i="3" s="1"/>
  <c r="J172" i="3"/>
  <c r="J167" i="3"/>
  <c r="J168" i="3" s="1"/>
  <c r="J169" i="3" s="1"/>
  <c r="J170" i="3" s="1"/>
  <c r="J171" i="3" s="1"/>
  <c r="K166" i="3"/>
  <c r="K167" i="3" s="1"/>
  <c r="K168" i="3" s="1"/>
  <c r="K169" i="3" s="1"/>
  <c r="K170" i="3" s="1"/>
  <c r="K171" i="3" s="1"/>
  <c r="C166" i="3"/>
  <c r="C167" i="3" s="1"/>
  <c r="C168" i="3" s="1"/>
  <c r="C169" i="3" s="1"/>
  <c r="C170" i="3" s="1"/>
  <c r="C171" i="3" s="1"/>
  <c r="B166" i="3"/>
  <c r="B167" i="3" s="1"/>
  <c r="B168" i="3" s="1"/>
  <c r="B169" i="3" s="1"/>
  <c r="B170" i="3" s="1"/>
  <c r="B171" i="3" s="1"/>
  <c r="D165" i="3"/>
  <c r="D166" i="3" s="1"/>
  <c r="D167" i="3" s="1"/>
  <c r="D168" i="3" s="1"/>
  <c r="D169" i="3" s="1"/>
  <c r="D170" i="3" s="1"/>
  <c r="D171" i="3" s="1"/>
  <c r="B160" i="3"/>
  <c r="B161" i="3" s="1"/>
  <c r="B162" i="3" s="1"/>
  <c r="B163" i="3" s="1"/>
  <c r="B164" i="3" s="1"/>
  <c r="D159" i="3"/>
  <c r="D160" i="3" s="1"/>
  <c r="D161" i="3" s="1"/>
  <c r="D162" i="3" s="1"/>
  <c r="D163" i="3" s="1"/>
  <c r="D164" i="3" s="1"/>
  <c r="C159" i="3"/>
  <c r="C160" i="3" s="1"/>
  <c r="C161" i="3" s="1"/>
  <c r="C162" i="3" s="1"/>
  <c r="C163" i="3" s="1"/>
  <c r="C164" i="3" s="1"/>
  <c r="B158" i="3"/>
  <c r="B154" i="3"/>
  <c r="B155" i="3" s="1"/>
  <c r="B156" i="3" s="1"/>
  <c r="B157" i="3" s="1"/>
  <c r="C153" i="3"/>
  <c r="C154" i="3" s="1"/>
  <c r="C155" i="3" s="1"/>
  <c r="C156" i="3" s="1"/>
  <c r="C157" i="3" s="1"/>
  <c r="D152" i="3"/>
  <c r="D153" i="3" s="1"/>
  <c r="D154" i="3" s="1"/>
  <c r="D155" i="3" s="1"/>
  <c r="D156" i="3" s="1"/>
  <c r="D157" i="3" s="1"/>
  <c r="J151" i="3"/>
  <c r="K151" i="3" s="1"/>
  <c r="K152" i="3" s="1"/>
  <c r="K153" i="3" s="1"/>
  <c r="K154" i="3" s="1"/>
  <c r="K155" i="3" s="1"/>
  <c r="K156" i="3" s="1"/>
  <c r="K157" i="3" s="1"/>
  <c r="K158" i="3" s="1"/>
  <c r="K159" i="3" s="1"/>
  <c r="K160" i="3" s="1"/>
  <c r="K161" i="3" s="1"/>
  <c r="K162" i="3" s="1"/>
  <c r="K163" i="3" s="1"/>
  <c r="K164" i="3" s="1"/>
  <c r="B151" i="3"/>
  <c r="C151" i="3" s="1"/>
  <c r="B149" i="3"/>
  <c r="B150" i="3" s="1"/>
  <c r="B148" i="3"/>
  <c r="J147" i="3"/>
  <c r="J148" i="3" s="1"/>
  <c r="J149" i="3" s="1"/>
  <c r="J150" i="3" s="1"/>
  <c r="K146" i="3"/>
  <c r="K147" i="3" s="1"/>
  <c r="K148" i="3" s="1"/>
  <c r="K149" i="3" s="1"/>
  <c r="K150" i="3" s="1"/>
  <c r="D146" i="3"/>
  <c r="D147" i="3" s="1"/>
  <c r="D148" i="3" s="1"/>
  <c r="D149" i="3" s="1"/>
  <c r="D150" i="3" s="1"/>
  <c r="C146" i="3"/>
  <c r="C147" i="3" s="1"/>
  <c r="C148" i="3" s="1"/>
  <c r="C149" i="3" s="1"/>
  <c r="C150" i="3" s="1"/>
  <c r="B144" i="3"/>
  <c r="C144" i="3" s="1"/>
  <c r="D144" i="3" s="1"/>
  <c r="Q143" i="3"/>
  <c r="Q144" i="3" s="1"/>
  <c r="Q145" i="3" s="1"/>
  <c r="Q146" i="3" s="1"/>
  <c r="Q147" i="3" s="1"/>
  <c r="P143" i="3"/>
  <c r="P144" i="3" s="1"/>
  <c r="P145" i="3" s="1"/>
  <c r="P146" i="3" s="1"/>
  <c r="P147" i="3" s="1"/>
  <c r="B142" i="3"/>
  <c r="B143" i="3" s="1"/>
  <c r="C140" i="3"/>
  <c r="C141" i="3" s="1"/>
  <c r="C142" i="3" s="1"/>
  <c r="C143" i="3" s="1"/>
  <c r="D139" i="3"/>
  <c r="D140" i="3" s="1"/>
  <c r="D141" i="3" s="1"/>
  <c r="D142" i="3" s="1"/>
  <c r="D143" i="3" s="1"/>
  <c r="P138" i="3"/>
  <c r="P139" i="3" s="1"/>
  <c r="P140" i="3" s="1"/>
  <c r="P141" i="3" s="1"/>
  <c r="Q137" i="3"/>
  <c r="Q138" i="3" s="1"/>
  <c r="Q139" i="3" s="1"/>
  <c r="Q140" i="3" s="1"/>
  <c r="Q141" i="3" s="1"/>
  <c r="B137" i="3"/>
  <c r="B138" i="3" s="1"/>
  <c r="B139" i="3" s="1"/>
  <c r="B140" i="3" s="1"/>
  <c r="B136" i="3"/>
  <c r="P133" i="3"/>
  <c r="P134" i="3" s="1"/>
  <c r="P135" i="3" s="1"/>
  <c r="C133" i="3"/>
  <c r="C134" i="3" s="1"/>
  <c r="C135" i="3" s="1"/>
  <c r="C136" i="3" s="1"/>
  <c r="Q132" i="3"/>
  <c r="Q133" i="3" s="1"/>
  <c r="Q134" i="3" s="1"/>
  <c r="Q135" i="3" s="1"/>
  <c r="D132" i="3"/>
  <c r="D133" i="3" s="1"/>
  <c r="D134" i="3" s="1"/>
  <c r="D135" i="3" s="1"/>
  <c r="D136" i="3" s="1"/>
  <c r="P131" i="3"/>
  <c r="J130" i="3"/>
  <c r="K130" i="3" s="1"/>
  <c r="K131" i="3" s="1"/>
  <c r="K132" i="3" s="1"/>
  <c r="K133" i="3" s="1"/>
  <c r="K134" i="3" s="1"/>
  <c r="K135" i="3" s="1"/>
  <c r="K136" i="3" s="1"/>
  <c r="K137" i="3" s="1"/>
  <c r="K138" i="3" s="1"/>
  <c r="K139" i="3" s="1"/>
  <c r="K140" i="3" s="1"/>
  <c r="K141" i="3" s="1"/>
  <c r="K142" i="3" s="1"/>
  <c r="K143" i="3" s="1"/>
  <c r="K144" i="3" s="1"/>
  <c r="B130" i="3"/>
  <c r="B131" i="3" s="1"/>
  <c r="B132" i="3" s="1"/>
  <c r="B133" i="3" s="1"/>
  <c r="B134" i="3" s="1"/>
  <c r="P128" i="3"/>
  <c r="P129" i="3" s="1"/>
  <c r="J127" i="3"/>
  <c r="J128" i="3" s="1"/>
  <c r="J129" i="3" s="1"/>
  <c r="C127" i="3"/>
  <c r="C128" i="3" s="1"/>
  <c r="C129" i="3" s="1"/>
  <c r="Q126" i="3"/>
  <c r="Q127" i="3" s="1"/>
  <c r="Q128" i="3" s="1"/>
  <c r="Q129" i="3" s="1"/>
  <c r="K126" i="3"/>
  <c r="K127" i="3" s="1"/>
  <c r="K128" i="3" s="1"/>
  <c r="K129" i="3" s="1"/>
  <c r="D126" i="3"/>
  <c r="D127" i="3" s="1"/>
  <c r="D128" i="3" s="1"/>
  <c r="D129" i="3" s="1"/>
  <c r="P125" i="3"/>
  <c r="P126" i="3" s="1"/>
  <c r="B124" i="3"/>
  <c r="B125" i="3" s="1"/>
  <c r="B126" i="3" s="1"/>
  <c r="B127" i="3" s="1"/>
  <c r="B128" i="3" s="1"/>
  <c r="P123" i="3"/>
  <c r="B123" i="3"/>
  <c r="C123" i="3" s="1"/>
  <c r="Q121" i="3"/>
  <c r="Q122" i="3" s="1"/>
  <c r="Q123" i="3" s="1"/>
  <c r="C120" i="3"/>
  <c r="C121" i="3" s="1"/>
  <c r="C122" i="3" s="1"/>
  <c r="Q119" i="3"/>
  <c r="P119" i="3"/>
  <c r="P120" i="3" s="1"/>
  <c r="P121" i="3" s="1"/>
  <c r="D119" i="3"/>
  <c r="D120" i="3" s="1"/>
  <c r="D121" i="3" s="1"/>
  <c r="D122" i="3" s="1"/>
  <c r="B116" i="3"/>
  <c r="C116" i="3" s="1"/>
  <c r="Q115" i="3"/>
  <c r="Q116" i="3" s="1"/>
  <c r="Q117" i="3" s="1"/>
  <c r="C114" i="3"/>
  <c r="C115" i="3" s="1"/>
  <c r="Q113" i="3"/>
  <c r="P113" i="3"/>
  <c r="P114" i="3" s="1"/>
  <c r="P115" i="3" s="1"/>
  <c r="P116" i="3" s="1"/>
  <c r="D113" i="3"/>
  <c r="D114" i="3" s="1"/>
  <c r="D115" i="3" s="1"/>
  <c r="Q110" i="3"/>
  <c r="Q111" i="3" s="1"/>
  <c r="J109" i="3"/>
  <c r="K109" i="3" s="1"/>
  <c r="K110" i="3" s="1"/>
  <c r="K111" i="3" s="1"/>
  <c r="K112" i="3" s="1"/>
  <c r="K113" i="3" s="1"/>
  <c r="K114" i="3" s="1"/>
  <c r="K115" i="3" s="1"/>
  <c r="K116" i="3" s="1"/>
  <c r="K117" i="3" s="1"/>
  <c r="K118" i="3" s="1"/>
  <c r="K119" i="3" s="1"/>
  <c r="K120" i="3" s="1"/>
  <c r="K121" i="3" s="1"/>
  <c r="K122" i="3" s="1"/>
  <c r="K123" i="3" s="1"/>
  <c r="K124" i="3" s="1"/>
  <c r="B109" i="3"/>
  <c r="B110" i="3" s="1"/>
  <c r="B111" i="3" s="1"/>
  <c r="B112" i="3" s="1"/>
  <c r="B113" i="3" s="1"/>
  <c r="B114" i="3" s="1"/>
  <c r="B115" i="3" s="1"/>
  <c r="Q107" i="3"/>
  <c r="Q108" i="3" s="1"/>
  <c r="P107" i="3"/>
  <c r="P108" i="3" s="1"/>
  <c r="P109" i="3" s="1"/>
  <c r="P110" i="3" s="1"/>
  <c r="P111" i="3" s="1"/>
  <c r="J107" i="3"/>
  <c r="J108" i="3" s="1"/>
  <c r="C107" i="3"/>
  <c r="C108" i="3" s="1"/>
  <c r="K106" i="3"/>
  <c r="K107" i="3" s="1"/>
  <c r="K108" i="3" s="1"/>
  <c r="D106" i="3"/>
  <c r="D107" i="3" s="1"/>
  <c r="D108" i="3" s="1"/>
  <c r="Q104" i="3"/>
  <c r="Q105" i="3" s="1"/>
  <c r="B102" i="3"/>
  <c r="C102" i="3" s="1"/>
  <c r="Q101" i="3"/>
  <c r="Q102" i="3" s="1"/>
  <c r="P101" i="3"/>
  <c r="P102" i="3" s="1"/>
  <c r="P103" i="3" s="1"/>
  <c r="P104" i="3" s="1"/>
  <c r="P105" i="3" s="1"/>
  <c r="C101" i="3"/>
  <c r="Q99" i="3"/>
  <c r="D99" i="3"/>
  <c r="D100" i="3" s="1"/>
  <c r="D101" i="3" s="1"/>
  <c r="Q95" i="3"/>
  <c r="Q96" i="3" s="1"/>
  <c r="Q97" i="3" s="1"/>
  <c r="P95" i="3"/>
  <c r="P96" i="3" s="1"/>
  <c r="P97" i="3" s="1"/>
  <c r="P98" i="3" s="1"/>
  <c r="P99" i="3" s="1"/>
  <c r="B95" i="3"/>
  <c r="C95" i="3" s="1"/>
  <c r="C94" i="3"/>
  <c r="Q93" i="3"/>
  <c r="D92" i="3"/>
  <c r="D93" i="3" s="1"/>
  <c r="D94" i="3" s="1"/>
  <c r="Q89" i="3"/>
  <c r="Q90" i="3" s="1"/>
  <c r="Q91" i="3" s="1"/>
  <c r="P89" i="3"/>
  <c r="P90" i="3" s="1"/>
  <c r="P91" i="3" s="1"/>
  <c r="P92" i="3" s="1"/>
  <c r="P93" i="3" s="1"/>
  <c r="J88" i="3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B88" i="3"/>
  <c r="B89" i="3" s="1"/>
  <c r="B90" i="3" s="1"/>
  <c r="B91" i="3" s="1"/>
  <c r="B92" i="3" s="1"/>
  <c r="B93" i="3" s="1"/>
  <c r="B94" i="3" s="1"/>
  <c r="J87" i="3"/>
  <c r="K86" i="3"/>
  <c r="K87" i="3" s="1"/>
  <c r="D86" i="3"/>
  <c r="D87" i="3" s="1"/>
  <c r="Q83" i="3"/>
  <c r="Q84" i="3" s="1"/>
  <c r="Q85" i="3" s="1"/>
  <c r="Q86" i="3" s="1"/>
  <c r="P83" i="3"/>
  <c r="P84" i="3" s="1"/>
  <c r="P85" i="3" s="1"/>
  <c r="P86" i="3" s="1"/>
  <c r="P87" i="3" s="1"/>
  <c r="B81" i="3"/>
  <c r="B82" i="3" s="1"/>
  <c r="B83" i="3" s="1"/>
  <c r="B84" i="3" s="1"/>
  <c r="B85" i="3" s="1"/>
  <c r="B86" i="3" s="1"/>
  <c r="B87" i="3" s="1"/>
  <c r="D79" i="3"/>
  <c r="D80" i="3" s="1"/>
  <c r="Q77" i="3"/>
  <c r="Q78" i="3" s="1"/>
  <c r="Q79" i="3" s="1"/>
  <c r="Q80" i="3" s="1"/>
  <c r="P77" i="3"/>
  <c r="P78" i="3" s="1"/>
  <c r="P79" i="3" s="1"/>
  <c r="P80" i="3" s="1"/>
  <c r="P81" i="3" s="1"/>
  <c r="B74" i="3"/>
  <c r="B75" i="3" s="1"/>
  <c r="B76" i="3" s="1"/>
  <c r="B77" i="3" s="1"/>
  <c r="B78" i="3" s="1"/>
  <c r="B79" i="3" s="1"/>
  <c r="B80" i="3" s="1"/>
  <c r="D72" i="3"/>
  <c r="D73" i="3" s="1"/>
  <c r="Q71" i="3"/>
  <c r="Q72" i="3" s="1"/>
  <c r="Q73" i="3" s="1"/>
  <c r="Q74" i="3" s="1"/>
  <c r="Q75" i="3" s="1"/>
  <c r="P71" i="3"/>
  <c r="P72" i="3" s="1"/>
  <c r="P73" i="3" s="1"/>
  <c r="P74" i="3" s="1"/>
  <c r="P75" i="3" s="1"/>
  <c r="J67" i="3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B67" i="3"/>
  <c r="C67" i="3" s="1"/>
  <c r="D66" i="3"/>
  <c r="Q65" i="3"/>
  <c r="Q66" i="3" s="1"/>
  <c r="Q67" i="3" s="1"/>
  <c r="Q68" i="3" s="1"/>
  <c r="Q69" i="3" s="1"/>
  <c r="P65" i="3"/>
  <c r="P66" i="3" s="1"/>
  <c r="P67" i="3" s="1"/>
  <c r="P68" i="3" s="1"/>
  <c r="P69" i="3" s="1"/>
  <c r="B60" i="3"/>
  <c r="B61" i="3" s="1"/>
  <c r="B62" i="3" s="1"/>
  <c r="B63" i="3" s="1"/>
  <c r="B64" i="3" s="1"/>
  <c r="B65" i="3" s="1"/>
  <c r="B66" i="3" s="1"/>
  <c r="Q59" i="3"/>
  <c r="Q60" i="3" s="1"/>
  <c r="Q61" i="3" s="1"/>
  <c r="Q62" i="3" s="1"/>
  <c r="Q63" i="3" s="1"/>
  <c r="P59" i="3"/>
  <c r="P60" i="3" s="1"/>
  <c r="P61" i="3" s="1"/>
  <c r="P62" i="3" s="1"/>
  <c r="P63" i="3" s="1"/>
  <c r="D59" i="3"/>
  <c r="Q53" i="3"/>
  <c r="Q54" i="3" s="1"/>
  <c r="Q55" i="3" s="1"/>
  <c r="Q56" i="3" s="1"/>
  <c r="Q57" i="3" s="1"/>
  <c r="P53" i="3"/>
  <c r="P54" i="3" s="1"/>
  <c r="P55" i="3" s="1"/>
  <c r="P56" i="3" s="1"/>
  <c r="P57" i="3" s="1"/>
  <c r="B53" i="3"/>
  <c r="B54" i="3" s="1"/>
  <c r="B55" i="3" s="1"/>
  <c r="B56" i="3" s="1"/>
  <c r="B57" i="3" s="1"/>
  <c r="B58" i="3" s="1"/>
  <c r="B59" i="3" s="1"/>
  <c r="D52" i="3"/>
  <c r="Q47" i="3"/>
  <c r="Q48" i="3" s="1"/>
  <c r="Q49" i="3" s="1"/>
  <c r="Q50" i="3" s="1"/>
  <c r="Q51" i="3" s="1"/>
  <c r="P47" i="3"/>
  <c r="P48" i="3" s="1"/>
  <c r="P49" i="3" s="1"/>
  <c r="P50" i="3" s="1"/>
  <c r="P51" i="3" s="1"/>
  <c r="C46" i="3"/>
  <c r="C47" i="3" s="1"/>
  <c r="C48" i="3" s="1"/>
  <c r="C49" i="3" s="1"/>
  <c r="C50" i="3" s="1"/>
  <c r="C51" i="3" s="1"/>
  <c r="C52" i="3" s="1"/>
  <c r="B46" i="3"/>
  <c r="B47" i="3" s="1"/>
  <c r="B48" i="3" s="1"/>
  <c r="B49" i="3" s="1"/>
  <c r="B50" i="3" s="1"/>
  <c r="B51" i="3" s="1"/>
  <c r="B52" i="3" s="1"/>
  <c r="Q41" i="3"/>
  <c r="Q42" i="3" s="1"/>
  <c r="Q43" i="3" s="1"/>
  <c r="Q44" i="3" s="1"/>
  <c r="Q45" i="3" s="1"/>
  <c r="P41" i="3"/>
  <c r="P42" i="3" s="1"/>
  <c r="P43" i="3" s="1"/>
  <c r="P44" i="3" s="1"/>
  <c r="P45" i="3" s="1"/>
  <c r="B39" i="3"/>
  <c r="B40" i="3" s="1"/>
  <c r="B41" i="3" s="1"/>
  <c r="B42" i="3" s="1"/>
  <c r="B43" i="3" s="1"/>
  <c r="B44" i="3" s="1"/>
  <c r="B45" i="3" s="1"/>
  <c r="Q35" i="3"/>
  <c r="Q36" i="3" s="1"/>
  <c r="Q37" i="3" s="1"/>
  <c r="Q38" i="3" s="1"/>
  <c r="Q39" i="3" s="1"/>
  <c r="P35" i="3"/>
  <c r="P36" i="3" s="1"/>
  <c r="P37" i="3" s="1"/>
  <c r="P38" i="3" s="1"/>
  <c r="P39" i="3" s="1"/>
  <c r="B33" i="3"/>
  <c r="B34" i="3" s="1"/>
  <c r="B35" i="3" s="1"/>
  <c r="B36" i="3" s="1"/>
  <c r="B37" i="3" s="1"/>
  <c r="B38" i="3" s="1"/>
  <c r="B32" i="3"/>
  <c r="C32" i="3" s="1"/>
  <c r="C33" i="3" s="1"/>
  <c r="C34" i="3" s="1"/>
  <c r="C35" i="3" s="1"/>
  <c r="C36" i="3" s="1"/>
  <c r="C37" i="3" s="1"/>
  <c r="C38" i="3" s="1"/>
  <c r="Q29" i="3"/>
  <c r="Q30" i="3" s="1"/>
  <c r="Q31" i="3" s="1"/>
  <c r="Q32" i="3" s="1"/>
  <c r="Q33" i="3" s="1"/>
  <c r="P29" i="3"/>
  <c r="P30" i="3" s="1"/>
  <c r="P31" i="3" s="1"/>
  <c r="P32" i="3" s="1"/>
  <c r="P33" i="3" s="1"/>
  <c r="B25" i="3"/>
  <c r="C25" i="3" s="1"/>
  <c r="C26" i="3" s="1"/>
  <c r="C27" i="3" s="1"/>
  <c r="C28" i="3" s="1"/>
  <c r="C29" i="3" s="1"/>
  <c r="C30" i="3" s="1"/>
  <c r="C31" i="3" s="1"/>
  <c r="Q23" i="3"/>
  <c r="Q24" i="3" s="1"/>
  <c r="Q25" i="3" s="1"/>
  <c r="Q26" i="3" s="1"/>
  <c r="Q27" i="3" s="1"/>
  <c r="P23" i="3"/>
  <c r="P24" i="3" s="1"/>
  <c r="P25" i="3" s="1"/>
  <c r="P26" i="3" s="1"/>
  <c r="P27" i="3" s="1"/>
  <c r="Q20" i="3"/>
  <c r="Q21" i="3" s="1"/>
  <c r="B18" i="3"/>
  <c r="B19" i="3" s="1"/>
  <c r="B20" i="3" s="1"/>
  <c r="B21" i="3" s="1"/>
  <c r="B22" i="3" s="1"/>
  <c r="B23" i="3" s="1"/>
  <c r="B24" i="3" s="1"/>
  <c r="Q17" i="3"/>
  <c r="Q18" i="3" s="1"/>
  <c r="P17" i="3"/>
  <c r="P18" i="3" s="1"/>
  <c r="P19" i="3" s="1"/>
  <c r="P20" i="3" s="1"/>
  <c r="P21" i="3" s="1"/>
  <c r="Q11" i="3"/>
  <c r="Q12" i="3" s="1"/>
  <c r="Q13" i="3" s="1"/>
  <c r="Q14" i="3" s="1"/>
  <c r="Q15" i="3" s="1"/>
  <c r="P11" i="3"/>
  <c r="P12" i="3" s="1"/>
  <c r="P13" i="3" s="1"/>
  <c r="P14" i="3" s="1"/>
  <c r="P15" i="3" s="1"/>
  <c r="B11" i="3"/>
  <c r="B12" i="3" s="1"/>
  <c r="B13" i="3" s="1"/>
  <c r="B14" i="3" s="1"/>
  <c r="B15" i="3" s="1"/>
  <c r="B16" i="3" s="1"/>
  <c r="B17" i="3" s="1"/>
  <c r="Q5" i="3"/>
  <c r="Q6" i="3" s="1"/>
  <c r="Q7" i="3" s="1"/>
  <c r="Q8" i="3" s="1"/>
  <c r="Q9" i="3" s="1"/>
  <c r="P5" i="3"/>
  <c r="P6" i="3" s="1"/>
  <c r="P7" i="3" s="1"/>
  <c r="P8" i="3" s="1"/>
  <c r="P9" i="3" s="1"/>
  <c r="B4" i="3"/>
  <c r="B5" i="3" s="1"/>
  <c r="B6" i="3" s="1"/>
  <c r="B7" i="3" s="1"/>
  <c r="B8" i="3" s="1"/>
  <c r="B9" i="3" s="1"/>
  <c r="B10" i="3" s="1"/>
  <c r="C4" i="3" l="1"/>
  <c r="C5" i="3" s="1"/>
  <c r="C6" i="3" s="1"/>
  <c r="C7" i="3" s="1"/>
  <c r="C8" i="3" s="1"/>
  <c r="C9" i="3" s="1"/>
  <c r="C10" i="3" s="1"/>
  <c r="B26" i="3"/>
  <c r="B27" i="3" s="1"/>
  <c r="B28" i="3" s="1"/>
  <c r="B29" i="3" s="1"/>
  <c r="B30" i="3" s="1"/>
  <c r="B31" i="3" s="1"/>
  <c r="C18" i="3"/>
  <c r="D18" i="3" s="1"/>
  <c r="D19" i="3" s="1"/>
  <c r="D20" i="3" s="1"/>
  <c r="D21" i="3" s="1"/>
  <c r="D22" i="3" s="1"/>
  <c r="D23" i="3" s="1"/>
  <c r="D24" i="3" s="1"/>
  <c r="C39" i="3"/>
  <c r="D39" i="3" s="1"/>
  <c r="D40" i="3" s="1"/>
  <c r="D41" i="3" s="1"/>
  <c r="D42" i="3" s="1"/>
  <c r="D43" i="3" s="1"/>
  <c r="D44" i="3" s="1"/>
  <c r="B68" i="3"/>
  <c r="B69" i="3" s="1"/>
  <c r="B70" i="3" s="1"/>
  <c r="B71" i="3" s="1"/>
  <c r="B72" i="3" s="1"/>
  <c r="B73" i="3" s="1"/>
  <c r="C74" i="3"/>
  <c r="C75" i="3" s="1"/>
  <c r="C76" i="3" s="1"/>
  <c r="C77" i="3" s="1"/>
  <c r="C78" i="3" s="1"/>
  <c r="C79" i="3" s="1"/>
  <c r="C60" i="5"/>
  <c r="C61" i="5" s="1"/>
  <c r="C62" i="5" s="1"/>
  <c r="C63" i="5" s="1"/>
  <c r="C64" i="5" s="1"/>
  <c r="C65" i="5" s="1"/>
  <c r="D59" i="5"/>
  <c r="D60" i="5" s="1"/>
  <c r="D61" i="5" s="1"/>
  <c r="D62" i="5" s="1"/>
  <c r="D63" i="5" s="1"/>
  <c r="C53" i="5"/>
  <c r="C54" i="5" s="1"/>
  <c r="C55" i="5" s="1"/>
  <c r="C56" i="5" s="1"/>
  <c r="C57" i="5" s="1"/>
  <c r="C58" i="5" s="1"/>
  <c r="D52" i="5"/>
  <c r="D53" i="5" s="1"/>
  <c r="D54" i="5" s="1"/>
  <c r="D55" i="5" s="1"/>
  <c r="D56" i="5" s="1"/>
  <c r="C46" i="5"/>
  <c r="C47" i="5" s="1"/>
  <c r="C48" i="5" s="1"/>
  <c r="C49" i="5" s="1"/>
  <c r="C50" i="5" s="1"/>
  <c r="C51" i="5" s="1"/>
  <c r="D45" i="5"/>
  <c r="D46" i="5" s="1"/>
  <c r="D47" i="5" s="1"/>
  <c r="D48" i="5" s="1"/>
  <c r="D49" i="5" s="1"/>
  <c r="C25" i="5"/>
  <c r="C26" i="5" s="1"/>
  <c r="C27" i="5" s="1"/>
  <c r="C28" i="5" s="1"/>
  <c r="C29" i="5" s="1"/>
  <c r="C30" i="5" s="1"/>
  <c r="D24" i="5"/>
  <c r="D25" i="5" s="1"/>
  <c r="D26" i="5" s="1"/>
  <c r="D27" i="5" s="1"/>
  <c r="D28" i="5" s="1"/>
  <c r="D29" i="5" s="1"/>
  <c r="C11" i="5"/>
  <c r="C12" i="5" s="1"/>
  <c r="C13" i="5" s="1"/>
  <c r="C14" i="5" s="1"/>
  <c r="C15" i="5" s="1"/>
  <c r="C16" i="5" s="1"/>
  <c r="D10" i="5"/>
  <c r="D11" i="5" s="1"/>
  <c r="D12" i="5" s="1"/>
  <c r="D13" i="5" s="1"/>
  <c r="D14" i="5" s="1"/>
  <c r="D15" i="5" s="1"/>
  <c r="D16" i="5" s="1"/>
  <c r="C32" i="5"/>
  <c r="C33" i="5" s="1"/>
  <c r="C34" i="5" s="1"/>
  <c r="C35" i="5" s="1"/>
  <c r="C36" i="5" s="1"/>
  <c r="C37" i="5" s="1"/>
  <c r="D31" i="5"/>
  <c r="D32" i="5" s="1"/>
  <c r="D33" i="5" s="1"/>
  <c r="D34" i="5" s="1"/>
  <c r="D35" i="5" s="1"/>
  <c r="D36" i="5" s="1"/>
  <c r="C67" i="5"/>
  <c r="C68" i="5" s="1"/>
  <c r="C69" i="5" s="1"/>
  <c r="C70" i="5" s="1"/>
  <c r="C71" i="5" s="1"/>
  <c r="C72" i="5" s="1"/>
  <c r="D66" i="5"/>
  <c r="D67" i="5" s="1"/>
  <c r="D68" i="5" s="1"/>
  <c r="D69" i="5" s="1"/>
  <c r="C102" i="5"/>
  <c r="C103" i="5" s="1"/>
  <c r="C104" i="5" s="1"/>
  <c r="D101" i="5"/>
  <c r="D102" i="5" s="1"/>
  <c r="D103" i="5" s="1"/>
  <c r="B5" i="4"/>
  <c r="B6" i="4" s="1"/>
  <c r="B7" i="4" s="1"/>
  <c r="B8" i="4" s="1"/>
  <c r="B9" i="4" s="1"/>
  <c r="B10" i="4" s="1"/>
  <c r="C4" i="4"/>
  <c r="B33" i="4"/>
  <c r="B34" i="4" s="1"/>
  <c r="B35" i="4" s="1"/>
  <c r="B36" i="4" s="1"/>
  <c r="B37" i="4" s="1"/>
  <c r="B38" i="4" s="1"/>
  <c r="C32" i="4"/>
  <c r="B40" i="4"/>
  <c r="B41" i="4" s="1"/>
  <c r="B42" i="4" s="1"/>
  <c r="B43" i="4" s="1"/>
  <c r="B44" i="4" s="1"/>
  <c r="B45" i="4" s="1"/>
  <c r="C39" i="4"/>
  <c r="C12" i="4"/>
  <c r="C13" i="4" s="1"/>
  <c r="C14" i="4" s="1"/>
  <c r="C15" i="4" s="1"/>
  <c r="C16" i="4" s="1"/>
  <c r="C17" i="4" s="1"/>
  <c r="D11" i="4"/>
  <c r="D12" i="4" s="1"/>
  <c r="D13" i="4" s="1"/>
  <c r="D14" i="4" s="1"/>
  <c r="D15" i="4" s="1"/>
  <c r="D16" i="4" s="1"/>
  <c r="D17" i="4" s="1"/>
  <c r="B19" i="4"/>
  <c r="B20" i="4" s="1"/>
  <c r="B21" i="4" s="1"/>
  <c r="B22" i="4" s="1"/>
  <c r="B23" i="4" s="1"/>
  <c r="B24" i="4" s="1"/>
  <c r="C18" i="4"/>
  <c r="B26" i="4"/>
  <c r="B27" i="4" s="1"/>
  <c r="B28" i="4" s="1"/>
  <c r="B29" i="4" s="1"/>
  <c r="B30" i="4" s="1"/>
  <c r="B31" i="4" s="1"/>
  <c r="C25" i="4"/>
  <c r="B47" i="4"/>
  <c r="B48" i="4" s="1"/>
  <c r="B49" i="4" s="1"/>
  <c r="B50" i="4" s="1"/>
  <c r="B51" i="4" s="1"/>
  <c r="B52" i="4" s="1"/>
  <c r="C46" i="4"/>
  <c r="C74" i="4"/>
  <c r="C95" i="4"/>
  <c r="C102" i="4"/>
  <c r="C116" i="4"/>
  <c r="B138" i="4"/>
  <c r="B139" i="4" s="1"/>
  <c r="B140" i="4" s="1"/>
  <c r="C137" i="4"/>
  <c r="C81" i="4"/>
  <c r="K88" i="4"/>
  <c r="K89" i="4" s="1"/>
  <c r="K90" i="4" s="1"/>
  <c r="K91" i="4" s="1"/>
  <c r="K92" i="4" s="1"/>
  <c r="K93" i="4" s="1"/>
  <c r="K94" i="4" s="1"/>
  <c r="K95" i="4" s="1"/>
  <c r="K96" i="4" s="1"/>
  <c r="K97" i="4" s="1"/>
  <c r="K98" i="4" s="1"/>
  <c r="K99" i="4" s="1"/>
  <c r="K100" i="4" s="1"/>
  <c r="K101" i="4" s="1"/>
  <c r="K102" i="4" s="1"/>
  <c r="K103" i="4" s="1"/>
  <c r="K104" i="4" s="1"/>
  <c r="K109" i="4"/>
  <c r="K110" i="4" s="1"/>
  <c r="K111" i="4" s="1"/>
  <c r="K112" i="4" s="1"/>
  <c r="K113" i="4" s="1"/>
  <c r="K114" i="4" s="1"/>
  <c r="K115" i="4" s="1"/>
  <c r="K116" i="4" s="1"/>
  <c r="K117" i="4" s="1"/>
  <c r="K118" i="4" s="1"/>
  <c r="K119" i="4" s="1"/>
  <c r="K120" i="4" s="1"/>
  <c r="K121" i="4" s="1"/>
  <c r="K122" i="4" s="1"/>
  <c r="K123" i="4" s="1"/>
  <c r="K124" i="4" s="1"/>
  <c r="B131" i="4"/>
  <c r="B132" i="4" s="1"/>
  <c r="B133" i="4" s="1"/>
  <c r="B134" i="4" s="1"/>
  <c r="C130" i="4"/>
  <c r="C53" i="4"/>
  <c r="B124" i="4"/>
  <c r="B125" i="4" s="1"/>
  <c r="B126" i="4" s="1"/>
  <c r="B127" i="4" s="1"/>
  <c r="B128" i="4" s="1"/>
  <c r="C123" i="4"/>
  <c r="D67" i="3"/>
  <c r="D68" i="3" s="1"/>
  <c r="D69" i="3" s="1"/>
  <c r="D70" i="3" s="1"/>
  <c r="C68" i="3"/>
  <c r="C69" i="3" s="1"/>
  <c r="C70" i="3" s="1"/>
  <c r="C71" i="3" s="1"/>
  <c r="C72" i="3" s="1"/>
  <c r="C73" i="3" s="1"/>
  <c r="D4" i="3"/>
  <c r="D5" i="3" s="1"/>
  <c r="D6" i="3" s="1"/>
  <c r="D7" i="3" s="1"/>
  <c r="D8" i="3" s="1"/>
  <c r="D9" i="3" s="1"/>
  <c r="D10" i="3" s="1"/>
  <c r="C19" i="3"/>
  <c r="C20" i="3" s="1"/>
  <c r="C21" i="3" s="1"/>
  <c r="C22" i="3" s="1"/>
  <c r="C23" i="3" s="1"/>
  <c r="C24" i="3" s="1"/>
  <c r="D25" i="3"/>
  <c r="D26" i="3" s="1"/>
  <c r="D27" i="3" s="1"/>
  <c r="D28" i="3" s="1"/>
  <c r="D29" i="3" s="1"/>
  <c r="D30" i="3" s="1"/>
  <c r="C40" i="3"/>
  <c r="C41" i="3" s="1"/>
  <c r="C42" i="3" s="1"/>
  <c r="C43" i="3" s="1"/>
  <c r="C44" i="3" s="1"/>
  <c r="C45" i="3" s="1"/>
  <c r="D46" i="3"/>
  <c r="D47" i="3" s="1"/>
  <c r="D48" i="3" s="1"/>
  <c r="D49" i="3" s="1"/>
  <c r="D50" i="3" s="1"/>
  <c r="K67" i="3"/>
  <c r="K68" i="3" s="1"/>
  <c r="K69" i="3" s="1"/>
  <c r="K70" i="3" s="1"/>
  <c r="K71" i="3" s="1"/>
  <c r="K72" i="3" s="1"/>
  <c r="K73" i="3" s="1"/>
  <c r="K74" i="3" s="1"/>
  <c r="K75" i="3" s="1"/>
  <c r="K76" i="3" s="1"/>
  <c r="K77" i="3" s="1"/>
  <c r="K78" i="3" s="1"/>
  <c r="K79" i="3" s="1"/>
  <c r="K80" i="3" s="1"/>
  <c r="K81" i="3" s="1"/>
  <c r="K82" i="3" s="1"/>
  <c r="K83" i="3" s="1"/>
  <c r="K84" i="3" s="1"/>
  <c r="C81" i="3"/>
  <c r="C53" i="3"/>
  <c r="C60" i="3"/>
  <c r="C88" i="3"/>
  <c r="D95" i="3"/>
  <c r="D96" i="3" s="1"/>
  <c r="D97" i="3" s="1"/>
  <c r="C96" i="3"/>
  <c r="C97" i="3" s="1"/>
  <c r="C98" i="3" s="1"/>
  <c r="C99" i="3" s="1"/>
  <c r="D102" i="3"/>
  <c r="D103" i="3" s="1"/>
  <c r="D104" i="3" s="1"/>
  <c r="C103" i="3"/>
  <c r="C104" i="3" s="1"/>
  <c r="C105" i="3" s="1"/>
  <c r="D116" i="3"/>
  <c r="D117" i="3" s="1"/>
  <c r="C117" i="3"/>
  <c r="C118" i="3" s="1"/>
  <c r="C124" i="3"/>
  <c r="C125" i="3" s="1"/>
  <c r="D123" i="3"/>
  <c r="D124" i="3" s="1"/>
  <c r="D32" i="3"/>
  <c r="D33" i="3" s="1"/>
  <c r="D34" i="3" s="1"/>
  <c r="D35" i="3" s="1"/>
  <c r="D36" i="3" s="1"/>
  <c r="D37" i="3" s="1"/>
  <c r="C11" i="3"/>
  <c r="K88" i="3"/>
  <c r="K89" i="3" s="1"/>
  <c r="K90" i="3" s="1"/>
  <c r="K91" i="3" s="1"/>
  <c r="K92" i="3" s="1"/>
  <c r="K93" i="3" s="1"/>
  <c r="K94" i="3" s="1"/>
  <c r="K95" i="3" s="1"/>
  <c r="K96" i="3" s="1"/>
  <c r="K97" i="3" s="1"/>
  <c r="K98" i="3" s="1"/>
  <c r="K99" i="3" s="1"/>
  <c r="K100" i="3" s="1"/>
  <c r="K101" i="3" s="1"/>
  <c r="K102" i="3" s="1"/>
  <c r="K103" i="3" s="1"/>
  <c r="K104" i="3" s="1"/>
  <c r="B96" i="3"/>
  <c r="B97" i="3" s="1"/>
  <c r="B98" i="3" s="1"/>
  <c r="B99" i="3" s="1"/>
  <c r="B100" i="3" s="1"/>
  <c r="B101" i="3" s="1"/>
  <c r="B103" i="3"/>
  <c r="B104" i="3" s="1"/>
  <c r="B105" i="3" s="1"/>
  <c r="B106" i="3" s="1"/>
  <c r="B107" i="3" s="1"/>
  <c r="B108" i="3" s="1"/>
  <c r="C109" i="3"/>
  <c r="J110" i="3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B117" i="3"/>
  <c r="B118" i="3" s="1"/>
  <c r="B119" i="3" s="1"/>
  <c r="B120" i="3" s="1"/>
  <c r="B121" i="3" s="1"/>
  <c r="B122" i="3" s="1"/>
  <c r="C130" i="3"/>
  <c r="C137" i="3"/>
  <c r="B152" i="3"/>
  <c r="B145" i="3"/>
  <c r="B146" i="3" s="1"/>
  <c r="J131" i="3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52" i="3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73" i="3"/>
  <c r="J174" i="3" s="1"/>
  <c r="J175" i="3" s="1"/>
  <c r="J176" i="3" s="1"/>
  <c r="J177" i="3" s="1"/>
  <c r="J178" i="3" s="1"/>
  <c r="J179" i="3" s="1"/>
  <c r="J180" i="3" s="1"/>
  <c r="J181" i="3" s="1"/>
  <c r="J182" i="3" s="1"/>
  <c r="J183" i="3" s="1"/>
  <c r="J184" i="3" s="1"/>
  <c r="J185" i="3" s="1"/>
  <c r="K172" i="3"/>
  <c r="K173" i="3" s="1"/>
  <c r="K174" i="3" s="1"/>
  <c r="K175" i="3" s="1"/>
  <c r="K176" i="3" s="1"/>
  <c r="K177" i="3" s="1"/>
  <c r="K178" i="3" s="1"/>
  <c r="K179" i="3" s="1"/>
  <c r="K180" i="3" s="1"/>
  <c r="K181" i="3" s="1"/>
  <c r="K182" i="3" s="1"/>
  <c r="K183" i="3" s="1"/>
  <c r="K184" i="3" s="1"/>
  <c r="K193" i="3"/>
  <c r="K194" i="3" s="1"/>
  <c r="K195" i="3" s="1"/>
  <c r="K196" i="3" s="1"/>
  <c r="K197" i="3" s="1"/>
  <c r="K198" i="3" s="1"/>
  <c r="K199" i="3" s="1"/>
  <c r="K200" i="3" s="1"/>
  <c r="K201" i="3" s="1"/>
  <c r="K202" i="3" s="1"/>
  <c r="K203" i="3" s="1"/>
  <c r="K204" i="3" s="1"/>
  <c r="K214" i="3"/>
  <c r="K215" i="3" s="1"/>
  <c r="K216" i="3" s="1"/>
  <c r="K217" i="3" s="1"/>
  <c r="K218" i="3" s="1"/>
  <c r="K219" i="3" s="1"/>
  <c r="K220" i="3" s="1"/>
  <c r="K221" i="3" s="1"/>
  <c r="K222" i="3" s="1"/>
  <c r="K223" i="3" s="1"/>
  <c r="K224" i="3" s="1"/>
  <c r="K235" i="3"/>
  <c r="K236" i="3" s="1"/>
  <c r="K237" i="3" s="1"/>
  <c r="K238" i="3" s="1"/>
  <c r="K239" i="3" s="1"/>
  <c r="K240" i="3" s="1"/>
  <c r="K241" i="3" s="1"/>
  <c r="K242" i="3" s="1"/>
  <c r="K243" i="3" s="1"/>
  <c r="K244" i="3" s="1"/>
  <c r="K256" i="3"/>
  <c r="K257" i="3" s="1"/>
  <c r="K258" i="3" s="1"/>
  <c r="K259" i="3" s="1"/>
  <c r="K260" i="3" s="1"/>
  <c r="K261" i="3" s="1"/>
  <c r="K262" i="3" s="1"/>
  <c r="K263" i="3" s="1"/>
  <c r="K264" i="3" s="1"/>
  <c r="K277" i="3"/>
  <c r="K278" i="3" s="1"/>
  <c r="K279" i="3" s="1"/>
  <c r="K280" i="3" s="1"/>
  <c r="K281" i="3" s="1"/>
  <c r="K282" i="3" s="1"/>
  <c r="K283" i="3" s="1"/>
  <c r="K284" i="3" s="1"/>
  <c r="K298" i="3"/>
  <c r="K299" i="3" s="1"/>
  <c r="K300" i="3" s="1"/>
  <c r="K301" i="3" s="1"/>
  <c r="K302" i="3" s="1"/>
  <c r="K303" i="3" s="1"/>
  <c r="K304" i="3" s="1"/>
  <c r="K319" i="3"/>
  <c r="K320" i="3" s="1"/>
  <c r="K321" i="3" s="1"/>
  <c r="K322" i="3" s="1"/>
  <c r="K323" i="3" s="1"/>
  <c r="K324" i="3" s="1"/>
  <c r="J341" i="3"/>
  <c r="J342" i="3" s="1"/>
  <c r="J343" i="3" s="1"/>
  <c r="J344" i="3" s="1"/>
  <c r="J345" i="3" s="1"/>
  <c r="J362" i="3"/>
  <c r="J363" i="3" s="1"/>
  <c r="J364" i="3" s="1"/>
  <c r="J365" i="3" s="1"/>
  <c r="J383" i="3"/>
  <c r="J384" i="3" s="1"/>
  <c r="J385" i="3" s="1"/>
  <c r="J404" i="3"/>
  <c r="J405" i="3" s="1"/>
  <c r="J425" i="3"/>
  <c r="J488" i="3"/>
  <c r="J489" i="3" s="1"/>
  <c r="J490" i="3" s="1"/>
  <c r="J491" i="3" s="1"/>
  <c r="J492" i="3" s="1"/>
  <c r="J493" i="3" s="1"/>
  <c r="J494" i="3" s="1"/>
  <c r="J495" i="3" s="1"/>
  <c r="J496" i="3" s="1"/>
  <c r="J497" i="3" s="1"/>
  <c r="J498" i="3" s="1"/>
  <c r="J499" i="3" s="1"/>
  <c r="J500" i="3" s="1"/>
  <c r="J501" i="3" s="1"/>
  <c r="J502" i="3" s="1"/>
  <c r="J503" i="3" s="1"/>
  <c r="J504" i="3" s="1"/>
  <c r="J505" i="3" s="1"/>
  <c r="J506" i="3" s="1"/>
  <c r="J507" i="3" s="1"/>
  <c r="D74" i="3" l="1"/>
  <c r="D75" i="3" s="1"/>
  <c r="D76" i="3" s="1"/>
  <c r="D77" i="3" s="1"/>
  <c r="D74" i="4"/>
  <c r="D75" i="4" s="1"/>
  <c r="D76" i="4" s="1"/>
  <c r="D77" i="4" s="1"/>
  <c r="C75" i="4"/>
  <c r="C76" i="4" s="1"/>
  <c r="C77" i="4" s="1"/>
  <c r="C78" i="4" s="1"/>
  <c r="C79" i="4" s="1"/>
  <c r="C33" i="4"/>
  <c r="C34" i="4" s="1"/>
  <c r="C35" i="4" s="1"/>
  <c r="C36" i="4" s="1"/>
  <c r="C37" i="4" s="1"/>
  <c r="C38" i="4" s="1"/>
  <c r="D32" i="4"/>
  <c r="D33" i="4" s="1"/>
  <c r="D34" i="4" s="1"/>
  <c r="D35" i="4" s="1"/>
  <c r="D36" i="4" s="1"/>
  <c r="D37" i="4" s="1"/>
  <c r="D53" i="4"/>
  <c r="D54" i="4" s="1"/>
  <c r="D55" i="4" s="1"/>
  <c r="D56" i="4" s="1"/>
  <c r="D57" i="4" s="1"/>
  <c r="C54" i="4"/>
  <c r="C55" i="4" s="1"/>
  <c r="C56" i="4" s="1"/>
  <c r="C57" i="4" s="1"/>
  <c r="C58" i="4" s="1"/>
  <c r="C59" i="4" s="1"/>
  <c r="D116" i="4"/>
  <c r="D117" i="4" s="1"/>
  <c r="C117" i="4"/>
  <c r="C118" i="4" s="1"/>
  <c r="D46" i="4"/>
  <c r="D47" i="4" s="1"/>
  <c r="D48" i="4" s="1"/>
  <c r="D49" i="4" s="1"/>
  <c r="D50" i="4" s="1"/>
  <c r="C47" i="4"/>
  <c r="C48" i="4" s="1"/>
  <c r="C49" i="4" s="1"/>
  <c r="C50" i="4" s="1"/>
  <c r="C51" i="4" s="1"/>
  <c r="C52" i="4" s="1"/>
  <c r="C19" i="4"/>
  <c r="C20" i="4" s="1"/>
  <c r="C21" i="4" s="1"/>
  <c r="C22" i="4" s="1"/>
  <c r="C23" i="4" s="1"/>
  <c r="C24" i="4" s="1"/>
  <c r="D18" i="4"/>
  <c r="D19" i="4" s="1"/>
  <c r="D20" i="4" s="1"/>
  <c r="D21" i="4" s="1"/>
  <c r="D22" i="4" s="1"/>
  <c r="D23" i="4" s="1"/>
  <c r="D24" i="4" s="1"/>
  <c r="C40" i="4"/>
  <c r="C41" i="4" s="1"/>
  <c r="C42" i="4" s="1"/>
  <c r="C43" i="4" s="1"/>
  <c r="C44" i="4" s="1"/>
  <c r="C45" i="4" s="1"/>
  <c r="D39" i="4"/>
  <c r="D40" i="4" s="1"/>
  <c r="D41" i="4" s="1"/>
  <c r="D42" i="4" s="1"/>
  <c r="D43" i="4" s="1"/>
  <c r="D44" i="4" s="1"/>
  <c r="D4" i="4"/>
  <c r="D5" i="4" s="1"/>
  <c r="D6" i="4" s="1"/>
  <c r="D7" i="4" s="1"/>
  <c r="D8" i="4" s="1"/>
  <c r="D9" i="4" s="1"/>
  <c r="D10" i="4" s="1"/>
  <c r="C5" i="4"/>
  <c r="C6" i="4" s="1"/>
  <c r="C7" i="4" s="1"/>
  <c r="C8" i="4" s="1"/>
  <c r="C9" i="4" s="1"/>
  <c r="C10" i="4" s="1"/>
  <c r="D123" i="4"/>
  <c r="D124" i="4" s="1"/>
  <c r="C124" i="4"/>
  <c r="C125" i="4" s="1"/>
  <c r="C138" i="4"/>
  <c r="D137" i="4"/>
  <c r="D95" i="4"/>
  <c r="D96" i="4" s="1"/>
  <c r="D97" i="4" s="1"/>
  <c r="C96" i="4"/>
  <c r="C97" i="4" s="1"/>
  <c r="C98" i="4" s="1"/>
  <c r="C99" i="4" s="1"/>
  <c r="C26" i="4"/>
  <c r="C27" i="4" s="1"/>
  <c r="C28" i="4" s="1"/>
  <c r="C29" i="4" s="1"/>
  <c r="C30" i="4" s="1"/>
  <c r="C31" i="4" s="1"/>
  <c r="D25" i="4"/>
  <c r="D26" i="4" s="1"/>
  <c r="D27" i="4" s="1"/>
  <c r="D28" i="4" s="1"/>
  <c r="D29" i="4" s="1"/>
  <c r="D30" i="4" s="1"/>
  <c r="C131" i="4"/>
  <c r="D130" i="4"/>
  <c r="D81" i="4"/>
  <c r="D82" i="4" s="1"/>
  <c r="D83" i="4" s="1"/>
  <c r="D84" i="4" s="1"/>
  <c r="C82" i="4"/>
  <c r="C83" i="4" s="1"/>
  <c r="C84" i="4" s="1"/>
  <c r="C85" i="4" s="1"/>
  <c r="C86" i="4" s="1"/>
  <c r="D102" i="4"/>
  <c r="D103" i="4" s="1"/>
  <c r="D104" i="4" s="1"/>
  <c r="C103" i="4"/>
  <c r="C104" i="4" s="1"/>
  <c r="C105" i="4" s="1"/>
  <c r="C61" i="3"/>
  <c r="C62" i="3" s="1"/>
  <c r="C63" i="3" s="1"/>
  <c r="C64" i="3" s="1"/>
  <c r="C65" i="3" s="1"/>
  <c r="C66" i="3" s="1"/>
  <c r="D60" i="3"/>
  <c r="D61" i="3" s="1"/>
  <c r="D62" i="3" s="1"/>
  <c r="D63" i="3" s="1"/>
  <c r="D64" i="3" s="1"/>
  <c r="C138" i="3"/>
  <c r="D137" i="3"/>
  <c r="C110" i="3"/>
  <c r="C111" i="3" s="1"/>
  <c r="C112" i="3" s="1"/>
  <c r="D109" i="3"/>
  <c r="D110" i="3" s="1"/>
  <c r="D11" i="3"/>
  <c r="D12" i="3" s="1"/>
  <c r="D13" i="3" s="1"/>
  <c r="D14" i="3" s="1"/>
  <c r="D15" i="3" s="1"/>
  <c r="D16" i="3" s="1"/>
  <c r="D17" i="3" s="1"/>
  <c r="C12" i="3"/>
  <c r="C13" i="3" s="1"/>
  <c r="C14" i="3" s="1"/>
  <c r="C15" i="3" s="1"/>
  <c r="C16" i="3" s="1"/>
  <c r="C17" i="3" s="1"/>
  <c r="C54" i="3"/>
  <c r="C55" i="3" s="1"/>
  <c r="C56" i="3" s="1"/>
  <c r="C57" i="3" s="1"/>
  <c r="C58" i="3" s="1"/>
  <c r="C59" i="3" s="1"/>
  <c r="D53" i="3"/>
  <c r="D54" i="3" s="1"/>
  <c r="D55" i="3" s="1"/>
  <c r="D56" i="3" s="1"/>
  <c r="D57" i="3" s="1"/>
  <c r="C131" i="3"/>
  <c r="D130" i="3"/>
  <c r="C82" i="3"/>
  <c r="C83" i="3" s="1"/>
  <c r="C84" i="3" s="1"/>
  <c r="C85" i="3" s="1"/>
  <c r="C86" i="3" s="1"/>
  <c r="D81" i="3"/>
  <c r="D82" i="3" s="1"/>
  <c r="D83" i="3" s="1"/>
  <c r="D84" i="3" s="1"/>
  <c r="C89" i="3"/>
  <c r="C90" i="3" s="1"/>
  <c r="C91" i="3" s="1"/>
  <c r="C92" i="3" s="1"/>
  <c r="D88" i="3"/>
  <c r="D89" i="3" s="1"/>
  <c r="D90" i="3" s="1"/>
  <c r="B18" i="1"/>
  <c r="C18" i="1"/>
  <c r="C19" i="1"/>
  <c r="B20" i="1"/>
  <c r="F20" i="1" s="1"/>
  <c r="B21" i="1" l="1"/>
  <c r="C21" i="1" s="1"/>
  <c r="F18" i="1"/>
  <c r="C13" i="1"/>
  <c r="C12" i="1"/>
  <c r="C14" i="1" s="1"/>
  <c r="B7" i="1"/>
  <c r="D7" i="1" s="1"/>
  <c r="B8" i="1"/>
  <c r="D8" i="1" s="1"/>
  <c r="B4" i="1" l="1"/>
  <c r="C4" i="1" s="1"/>
</calcChain>
</file>

<file path=xl/sharedStrings.xml><?xml version="1.0" encoding="utf-8"?>
<sst xmlns="http://schemas.openxmlformats.org/spreadsheetml/2006/main" count="125" uniqueCount="57">
  <si>
    <t>管周长</t>
    <phoneticPr fontId="1" type="noConversion"/>
  </si>
  <si>
    <t>打孔间隔/mm</t>
    <phoneticPr fontId="1" type="noConversion"/>
  </si>
  <si>
    <t>周长</t>
    <phoneticPr fontId="1" type="noConversion"/>
  </si>
  <si>
    <t>U</t>
    <phoneticPr fontId="1" type="noConversion"/>
  </si>
  <si>
    <t>rho</t>
    <phoneticPr fontId="1" type="noConversion"/>
  </si>
  <si>
    <t>l</t>
    <phoneticPr fontId="1" type="noConversion"/>
  </si>
  <si>
    <t>I微安</t>
    <phoneticPr fontId="1" type="noConversion"/>
  </si>
  <si>
    <t>直径</t>
    <phoneticPr fontId="1" type="noConversion"/>
  </si>
  <si>
    <t>体积L</t>
    <phoneticPr fontId="1" type="noConversion"/>
  </si>
  <si>
    <t>打孔间隔计算</t>
    <phoneticPr fontId="1" type="noConversion"/>
  </si>
  <si>
    <t>电阻率测量装置的理论值</t>
    <phoneticPr fontId="1" type="noConversion"/>
  </si>
  <si>
    <t>倒出水的体积计算</t>
    <phoneticPr fontId="1" type="noConversion"/>
  </si>
  <si>
    <t>外圈塑料管</t>
    <phoneticPr fontId="1" type="noConversion"/>
  </si>
  <si>
    <t>绝缘橡胶棒</t>
    <phoneticPr fontId="1" type="noConversion"/>
  </si>
  <si>
    <t>防静电棒</t>
    <phoneticPr fontId="1" type="noConversion"/>
  </si>
  <si>
    <t>外周长/mm</t>
    <phoneticPr fontId="1" type="noConversion"/>
  </si>
  <si>
    <t>周长/mm</t>
    <phoneticPr fontId="1" type="noConversion"/>
  </si>
  <si>
    <t>内径/mm</t>
    <phoneticPr fontId="1" type="noConversion"/>
  </si>
  <si>
    <t>直径/mm</t>
    <phoneticPr fontId="1" type="noConversion"/>
  </si>
  <si>
    <t>外径/mm</t>
    <phoneticPr fontId="1" type="noConversion"/>
  </si>
  <si>
    <t>温纳</t>
    <phoneticPr fontId="1" type="noConversion"/>
  </si>
  <si>
    <t>U</t>
    <phoneticPr fontId="1" type="noConversion"/>
  </si>
  <si>
    <t>I</t>
    <phoneticPr fontId="1" type="noConversion"/>
  </si>
  <si>
    <t>其他情况说明</t>
    <phoneticPr fontId="1" type="noConversion"/>
  </si>
  <si>
    <t>电压分辨力0.01mV</t>
    <phoneticPr fontId="2" type="noConversion"/>
  </si>
  <si>
    <t>I</t>
    <phoneticPr fontId="2" type="noConversion"/>
  </si>
  <si>
    <t>最大电压6V</t>
    <phoneticPr fontId="2" type="noConversion"/>
  </si>
  <si>
    <t>实测估计</t>
    <phoneticPr fontId="2" type="noConversion"/>
  </si>
  <si>
    <t>k</t>
    <phoneticPr fontId="2" type="noConversion"/>
  </si>
  <si>
    <t>r半径</t>
    <phoneticPr fontId="2" type="noConversion"/>
  </si>
  <si>
    <t>rho</t>
    <phoneticPr fontId="2" type="noConversion"/>
  </si>
  <si>
    <t>U</t>
    <phoneticPr fontId="2" type="noConversion"/>
  </si>
  <si>
    <t>最大电流5A</t>
    <phoneticPr fontId="2" type="noConversion"/>
  </si>
  <si>
    <t>电流分辨力0.01mA</t>
    <phoneticPr fontId="2" type="noConversion"/>
  </si>
  <si>
    <t>偶极</t>
    <phoneticPr fontId="1" type="noConversion"/>
  </si>
  <si>
    <t>三级</t>
    <phoneticPr fontId="1" type="noConversion"/>
  </si>
  <si>
    <t>纯水无异常共816点</t>
    <phoneticPr fontId="1" type="noConversion"/>
  </si>
  <si>
    <t>A</t>
    <phoneticPr fontId="1" type="noConversion"/>
  </si>
  <si>
    <t>M</t>
    <phoneticPr fontId="1" type="noConversion"/>
  </si>
  <si>
    <t>N</t>
    <phoneticPr fontId="1" type="noConversion"/>
  </si>
  <si>
    <t>B</t>
    <phoneticPr fontId="1" type="noConversion"/>
  </si>
  <si>
    <t>B</t>
    <phoneticPr fontId="1" type="noConversion"/>
  </si>
  <si>
    <t>M</t>
    <phoneticPr fontId="1" type="noConversion"/>
  </si>
  <si>
    <t>N</t>
    <phoneticPr fontId="1" type="noConversion"/>
  </si>
  <si>
    <t>A</t>
    <phoneticPr fontId="1" type="noConversion"/>
  </si>
  <si>
    <t>M</t>
    <phoneticPr fontId="1" type="noConversion"/>
  </si>
  <si>
    <t>中心高阻异常</t>
    <phoneticPr fontId="1" type="noConversion"/>
  </si>
  <si>
    <t>中心高阻外圈低阻</t>
    <phoneticPr fontId="1" type="noConversion"/>
  </si>
  <si>
    <t>直径/mm</t>
    <phoneticPr fontId="1" type="noConversion"/>
  </si>
  <si>
    <t>U</t>
    <phoneticPr fontId="1" type="noConversion"/>
  </si>
  <si>
    <t>I</t>
    <phoneticPr fontId="1" type="noConversion"/>
  </si>
  <si>
    <t>长度/mm</t>
    <phoneticPr fontId="1" type="noConversion"/>
  </si>
  <si>
    <t>I</t>
    <phoneticPr fontId="1" type="noConversion"/>
  </si>
  <si>
    <t>对应实验记录1</t>
    <phoneticPr fontId="1" type="noConversion"/>
  </si>
  <si>
    <t>纯水A无异常共816点</t>
    <phoneticPr fontId="1" type="noConversion"/>
  </si>
  <si>
    <t>纯水A电阻率：</t>
    <phoneticPr fontId="1" type="noConversion"/>
  </si>
  <si>
    <t>无异常纯水-高阻1000以上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</si>
</sst>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name val="宋体"/>
      <family val="2"/>
      <scheme val="minor"/>
    </font>
    <font>
      <sz val="11"/>
      <color rgb="FF3F3F76"/>
      <name val="宋体"/>
      <family val="2"/>
      <charset val="134"/>
      <scheme val="minor"/>
    </font>
    <font>
      <sz val="11"/>
      <color rgb="FFFF0000"/>
      <name val="宋体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CC99"/>
      </patternFill>
    </fill>
  </fills>
  <borders count="2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 style="thick">
        <color rgb="FF7F7F7F"/>
      </left>
      <right/>
      <top style="thick">
        <color rgb="FF7F7F7F"/>
      </top>
      <bottom/>
      <diagonal/>
    </border>
    <border>
      <left/>
      <right/>
      <top style="thick">
        <color rgb="FF7F7F7F"/>
      </top>
      <bottom/>
      <diagonal/>
    </border>
    <border>
      <left/>
      <right style="thick">
        <color rgb="FF7F7F7F"/>
      </right>
      <top style="thick">
        <color rgb="FF7F7F7F"/>
      </top>
      <bottom/>
      <diagonal/>
    </border>
    <border>
      <left style="thick">
        <color rgb="FF7F7F7F"/>
      </left>
      <right/>
      <top/>
      <bottom/>
      <diagonal/>
    </border>
    <border>
      <left/>
      <right style="thick">
        <color rgb="FF7F7F7F"/>
      </right>
      <top/>
      <bottom/>
      <diagonal/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ck">
        <color rgb="FF7F7F7F"/>
      </right>
      <top style="thin">
        <color rgb="FF7F7F7F"/>
      </top>
      <bottom/>
      <diagonal/>
    </border>
    <border>
      <left style="thick">
        <color rgb="FF7F7F7F"/>
      </left>
      <right style="thin">
        <color rgb="FF7F7F7F"/>
      </right>
      <top style="thin">
        <color rgb="FF7F7F7F"/>
      </top>
      <bottom style="thick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ck">
        <color rgb="FF7F7F7F"/>
      </bottom>
      <diagonal/>
    </border>
    <border>
      <left style="thin">
        <color rgb="FF7F7F7F"/>
      </left>
      <right/>
      <top/>
      <bottom style="thick">
        <color rgb="FF7F7F7F"/>
      </bottom>
      <diagonal/>
    </border>
    <border>
      <left/>
      <right style="thick">
        <color rgb="FF7F7F7F"/>
      </right>
      <top/>
      <bottom style="thick">
        <color rgb="FF7F7F7F"/>
      </bottom>
      <diagonal/>
    </border>
  </borders>
  <cellStyleXfs count="6">
    <xf numFmtId="0" fontId="0" fillId="0" borderId="0"/>
    <xf numFmtId="0" fontId="3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12" applyNumberFormat="0" applyAlignment="0" applyProtection="0">
      <alignment vertical="center"/>
    </xf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5" fillId="4" borderId="0" xfId="3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5" fillId="4" borderId="0" xfId="3" applyBorder="1" applyAlignment="1">
      <alignment horizontal="center" vertical="center" wrapText="1"/>
    </xf>
    <xf numFmtId="0" fontId="4" fillId="3" borderId="0" xfId="2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8" fillId="6" borderId="20" xfId="5" applyBorder="1" applyAlignment="1">
      <alignment horizontal="center"/>
    </xf>
    <xf numFmtId="0" fontId="8" fillId="6" borderId="12" xfId="5" applyBorder="1" applyAlignment="1">
      <alignment horizontal="center"/>
    </xf>
    <xf numFmtId="0" fontId="8" fillId="6" borderId="22" xfId="5" applyBorder="1" applyAlignment="1">
      <alignment horizontal="center"/>
    </xf>
    <xf numFmtId="0" fontId="8" fillId="6" borderId="23" xfId="5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5" fillId="4" borderId="0" xfId="3" applyBorder="1" applyAlignment="1">
      <alignment horizontal="center" vertical="center" wrapText="1"/>
    </xf>
    <xf numFmtId="0" fontId="4" fillId="3" borderId="0" xfId="2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8" fillId="6" borderId="13" xfId="5" applyBorder="1" applyAlignment="1">
      <alignment horizontal="center" vertical="center"/>
    </xf>
    <xf numFmtId="0" fontId="8" fillId="6" borderId="21" xfId="5" applyBorder="1" applyAlignment="1">
      <alignment horizontal="center" vertical="center"/>
    </xf>
    <xf numFmtId="0" fontId="8" fillId="6" borderId="14" xfId="5" applyBorder="1" applyAlignment="1">
      <alignment horizontal="center" vertical="center"/>
    </xf>
    <xf numFmtId="0" fontId="8" fillId="6" borderId="19" xfId="5" applyBorder="1" applyAlignment="1">
      <alignment horizontal="center" vertical="center"/>
    </xf>
    <xf numFmtId="0" fontId="8" fillId="6" borderId="24" xfId="5" applyBorder="1" applyAlignment="1">
      <alignment horizontal="center" vertical="center"/>
    </xf>
    <xf numFmtId="0" fontId="8" fillId="6" borderId="25" xfId="5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4" borderId="0" xfId="3" applyBorder="1" applyAlignment="1">
      <alignment horizontal="center" vertical="center" wrapText="1"/>
    </xf>
    <xf numFmtId="0" fontId="4" fillId="3" borderId="0" xfId="2" applyAlignment="1">
      <alignment horizontal="center" vertical="center" wrapText="1"/>
    </xf>
    <xf numFmtId="0" fontId="3" fillId="2" borderId="0" xfId="1" applyAlignment="1">
      <alignment horizontal="center" vertical="center"/>
    </xf>
    <xf numFmtId="0" fontId="6" fillId="5" borderId="0" xfId="4" applyAlignment="1">
      <alignment horizontal="center" vertical="center"/>
    </xf>
    <xf numFmtId="0" fontId="0" fillId="0" borderId="0" xfId="0" applyAlignment="1">
      <alignment horizontal="center" vertical="center"/>
    </xf>
  </cellXfs>
  <cellStyles count="6">
    <cellStyle name="60% - 着色 5" xfId="4" builtinId="48"/>
    <cellStyle name="差" xfId="2" builtinId="27"/>
    <cellStyle name="常规" xfId="0" builtinId="0"/>
    <cellStyle name="好" xfId="1" builtinId="26"/>
    <cellStyle name="适中" xfId="3" builtinId="28"/>
    <cellStyle name="输入" xfId="5" builtinId="2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\Desktop\&#26641;&#24178;&#27169;&#25311;&#23454;&#39564;\u_r500_rho600_I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6">
          <cell r="A16">
            <v>-14.859955119107394</v>
          </cell>
        </row>
        <row r="31">
          <cell r="A31">
            <v>-6.7725144810180202</v>
          </cell>
        </row>
        <row r="76">
          <cell r="A76">
            <v>-1.0183544101173505</v>
          </cell>
        </row>
        <row r="91">
          <cell r="A91">
            <v>-6.3403318320946365E-4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tabSelected="1" workbookViewId="0">
      <selection activeCell="H18" sqref="H18"/>
    </sheetView>
  </sheetViews>
  <sheetFormatPr defaultRowHeight="13.5" x14ac:dyDescent="0.15"/>
  <cols>
    <col min="1" max="1" width="14.375" customWidth="1"/>
    <col min="2" max="2" width="11.5" customWidth="1"/>
    <col min="3" max="3" width="14.25" customWidth="1"/>
    <col min="4" max="4" width="12.75" bestFit="1" customWidth="1"/>
    <col min="6" max="6" width="11.5" customWidth="1"/>
    <col min="8" max="8" width="11.25" customWidth="1"/>
  </cols>
  <sheetData>
    <row r="1" spans="1:19" ht="15" thickTop="1" thickBot="1" x14ac:dyDescent="0.2">
      <c r="A1" s="3" t="s">
        <v>12</v>
      </c>
      <c r="B1" s="4" t="s">
        <v>15</v>
      </c>
      <c r="C1" s="4"/>
      <c r="D1" s="4" t="s">
        <v>17</v>
      </c>
      <c r="E1" s="4"/>
      <c r="F1" s="4" t="s">
        <v>19</v>
      </c>
      <c r="G1" s="4"/>
      <c r="H1" s="4" t="s">
        <v>13</v>
      </c>
      <c r="I1" s="4" t="s">
        <v>16</v>
      </c>
      <c r="J1" s="4"/>
      <c r="K1" s="4" t="s">
        <v>18</v>
      </c>
      <c r="L1" s="4"/>
      <c r="M1" s="4" t="s">
        <v>14</v>
      </c>
      <c r="N1" s="4" t="s">
        <v>16</v>
      </c>
      <c r="O1" s="4"/>
      <c r="P1" s="4" t="s">
        <v>18</v>
      </c>
      <c r="Q1" s="5"/>
      <c r="R1" s="1"/>
      <c r="S1" s="1"/>
    </row>
    <row r="2" spans="1:19" ht="15" thickTop="1" thickBo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4.25" thickTop="1" x14ac:dyDescent="0.15">
      <c r="A3" s="42" t="s">
        <v>9</v>
      </c>
      <c r="B3" s="6" t="s">
        <v>0</v>
      </c>
      <c r="C3" s="7" t="s">
        <v>1</v>
      </c>
      <c r="D3" s="1"/>
      <c r="E3" s="1"/>
      <c r="F3" s="1"/>
      <c r="G3" s="51" t="s">
        <v>55</v>
      </c>
      <c r="H3" s="52"/>
      <c r="I3" s="52"/>
      <c r="J3" s="52"/>
      <c r="K3" s="52"/>
      <c r="L3" s="52"/>
      <c r="M3" s="53"/>
      <c r="N3" s="1"/>
      <c r="O3" s="1"/>
      <c r="P3" s="1"/>
      <c r="Q3" s="1"/>
      <c r="R3" s="1"/>
      <c r="S3" s="1"/>
    </row>
    <row r="4" spans="1:19" ht="14.25" thickBot="1" x14ac:dyDescent="0.2">
      <c r="A4" s="43"/>
      <c r="B4" s="8">
        <f>PI()*195</f>
        <v>612.61056745000963</v>
      </c>
      <c r="C4" s="9">
        <f>B4/24</f>
        <v>25.525440310417068</v>
      </c>
      <c r="D4" s="1"/>
      <c r="E4" s="1"/>
      <c r="F4" s="1"/>
      <c r="G4" s="30" t="s">
        <v>51</v>
      </c>
      <c r="H4" s="10" t="s">
        <v>48</v>
      </c>
      <c r="I4" s="10" t="s">
        <v>49</v>
      </c>
      <c r="J4" s="10" t="s">
        <v>50</v>
      </c>
      <c r="K4" s="10"/>
      <c r="L4" s="10"/>
      <c r="M4" s="31"/>
      <c r="N4" s="1"/>
      <c r="O4" s="1"/>
      <c r="P4" s="1"/>
      <c r="Q4" s="1"/>
      <c r="R4" s="1"/>
      <c r="S4" s="1"/>
    </row>
    <row r="5" spans="1:19" ht="15" thickTop="1" thickBot="1" x14ac:dyDescent="0.2">
      <c r="A5" s="1"/>
      <c r="B5" s="1"/>
      <c r="C5" s="1"/>
      <c r="D5" s="1"/>
      <c r="E5" s="1"/>
      <c r="F5" s="1"/>
      <c r="G5" s="32">
        <f t="shared" ref="G5:G12" si="0">56.55-1.13</f>
        <v>55.419999999999995</v>
      </c>
      <c r="H5" s="33">
        <v>66.5</v>
      </c>
      <c r="I5" s="33">
        <v>5742.03</v>
      </c>
      <c r="J5" s="33">
        <v>1.28</v>
      </c>
      <c r="K5" s="33">
        <f>I5/J5*PI()*(H5*H5/4000000)/G5/0.001</f>
        <v>281.13967475741038</v>
      </c>
      <c r="L5" s="45" t="s">
        <v>53</v>
      </c>
      <c r="M5" s="46"/>
      <c r="N5" s="1"/>
      <c r="O5" s="1"/>
      <c r="P5" s="1"/>
      <c r="Q5" s="1"/>
      <c r="R5" s="1"/>
      <c r="S5" s="1"/>
    </row>
    <row r="6" spans="1:19" ht="14.25" thickTop="1" x14ac:dyDescent="0.15">
      <c r="A6" s="42" t="s">
        <v>10</v>
      </c>
      <c r="B6" s="6" t="s">
        <v>2</v>
      </c>
      <c r="C6" s="6" t="s">
        <v>3</v>
      </c>
      <c r="D6" s="6" t="s">
        <v>6</v>
      </c>
      <c r="E6" s="6" t="s">
        <v>4</v>
      </c>
      <c r="F6" s="6" t="s">
        <v>5</v>
      </c>
      <c r="G6" s="32">
        <f t="shared" si="0"/>
        <v>55.419999999999995</v>
      </c>
      <c r="H6" s="33">
        <v>66.5</v>
      </c>
      <c r="I6" s="33">
        <v>5747.44</v>
      </c>
      <c r="J6" s="33">
        <v>1.27</v>
      </c>
      <c r="K6" s="33">
        <f>I6/J6*PI()*(H6*H6/4000000)/G6/0.001</f>
        <v>283.62034159039212</v>
      </c>
      <c r="L6" s="47"/>
      <c r="M6" s="48"/>
      <c r="N6" s="1"/>
      <c r="O6" s="1"/>
      <c r="P6" s="1"/>
      <c r="Q6" s="1"/>
      <c r="R6" s="1"/>
      <c r="S6" s="1"/>
    </row>
    <row r="7" spans="1:19" x14ac:dyDescent="0.15">
      <c r="A7" s="44"/>
      <c r="B7" s="10">
        <f>PI()*0.006</f>
        <v>1.8849555921538759E-2</v>
      </c>
      <c r="C7" s="10">
        <v>24</v>
      </c>
      <c r="D7" s="10">
        <f>1000000*C7*(B7*B7/4/PI())/E7/F7</f>
        <v>33.929200658769766</v>
      </c>
      <c r="E7" s="10">
        <v>200</v>
      </c>
      <c r="F7" s="10">
        <v>0.1</v>
      </c>
      <c r="G7" s="32">
        <f t="shared" si="0"/>
        <v>55.419999999999995</v>
      </c>
      <c r="H7" s="33">
        <v>66.5</v>
      </c>
      <c r="I7" s="33">
        <v>4664.79</v>
      </c>
      <c r="J7" s="33">
        <v>1</v>
      </c>
      <c r="K7" s="33">
        <f>I7/J7*PI()*(H7*H7/4000000)/G7/0.001</f>
        <v>292.34707160479371</v>
      </c>
      <c r="L7" s="47"/>
      <c r="M7" s="48"/>
      <c r="N7" s="1"/>
      <c r="O7" s="1"/>
      <c r="P7" s="1"/>
      <c r="Q7" s="1"/>
      <c r="R7" s="1"/>
      <c r="S7" s="1"/>
    </row>
    <row r="8" spans="1:19" ht="14.25" thickBot="1" x14ac:dyDescent="0.2">
      <c r="A8" s="43"/>
      <c r="B8" s="8">
        <f>PI()*0.013</f>
        <v>4.084070449666731E-2</v>
      </c>
      <c r="C8" s="8">
        <v>24</v>
      </c>
      <c r="D8" s="8">
        <f>1000000*C8*(B8*B8/4/PI())/E8/F8</f>
        <v>31.855749507400496</v>
      </c>
      <c r="E8" s="8">
        <v>1000</v>
      </c>
      <c r="F8" s="8">
        <v>0.1</v>
      </c>
      <c r="G8" s="32">
        <f t="shared" si="0"/>
        <v>55.419999999999995</v>
      </c>
      <c r="H8" s="33">
        <v>66.5</v>
      </c>
      <c r="I8" s="33">
        <v>4667.9799999999996</v>
      </c>
      <c r="J8" s="33">
        <v>0.99</v>
      </c>
      <c r="K8" s="33">
        <f>I8/J8*PI()*(H8*H8/4000000)/G8/0.001</f>
        <v>295.50201222906173</v>
      </c>
      <c r="L8" s="47"/>
      <c r="M8" s="48"/>
      <c r="N8" s="1"/>
      <c r="O8" s="1"/>
      <c r="P8" s="1"/>
      <c r="Q8" s="1"/>
      <c r="R8" s="1"/>
      <c r="S8" s="1"/>
    </row>
    <row r="9" spans="1:19" ht="14.25" thickTop="1" x14ac:dyDescent="0.15">
      <c r="A9" s="1"/>
      <c r="B9" s="1"/>
      <c r="C9" s="1"/>
      <c r="D9" s="1"/>
      <c r="E9" s="1"/>
      <c r="F9" s="1"/>
      <c r="G9" s="32">
        <f t="shared" si="0"/>
        <v>55.419999999999995</v>
      </c>
      <c r="H9" s="33">
        <v>66.5</v>
      </c>
      <c r="I9" s="33">
        <v>3592.57</v>
      </c>
      <c r="J9" s="33">
        <v>0.74</v>
      </c>
      <c r="K9" s="33">
        <f>I9/J9*PI()*(H9*H9/4000000)/G9/0.001</f>
        <v>304.25671345804153</v>
      </c>
      <c r="L9" s="47"/>
      <c r="M9" s="48"/>
      <c r="N9" s="1"/>
      <c r="O9" s="1"/>
      <c r="P9" s="1"/>
      <c r="Q9" s="1"/>
      <c r="R9" s="1"/>
      <c r="S9" s="1"/>
    </row>
    <row r="10" spans="1:19" ht="14.25" thickBot="1" x14ac:dyDescent="0.2">
      <c r="A10" s="1"/>
      <c r="B10" s="1"/>
      <c r="C10" s="1"/>
      <c r="D10" s="1"/>
      <c r="E10" s="1"/>
      <c r="F10" s="1"/>
      <c r="G10" s="32">
        <f t="shared" si="0"/>
        <v>55.419999999999995</v>
      </c>
      <c r="H10" s="33">
        <v>66.5</v>
      </c>
      <c r="I10" s="33">
        <v>4664.29</v>
      </c>
      <c r="J10" s="33">
        <v>0.99</v>
      </c>
      <c r="K10" s="33">
        <f t="shared" ref="K10:K21" si="1">I10/J10*PI()*(H10*H10/4000000)/G10/0.001</f>
        <v>295.26842030597624</v>
      </c>
      <c r="L10" s="47"/>
      <c r="M10" s="48"/>
      <c r="N10" s="1"/>
      <c r="O10" s="1"/>
      <c r="P10" s="1"/>
      <c r="Q10" s="1"/>
      <c r="R10" s="1"/>
      <c r="S10" s="1"/>
    </row>
    <row r="11" spans="1:19" ht="14.25" thickTop="1" x14ac:dyDescent="0.15">
      <c r="A11" s="42" t="s">
        <v>11</v>
      </c>
      <c r="B11" s="6" t="s">
        <v>7</v>
      </c>
      <c r="C11" s="7" t="s">
        <v>8</v>
      </c>
      <c r="D11" s="1"/>
      <c r="E11" s="1"/>
      <c r="F11" s="1"/>
      <c r="G11" s="32">
        <f t="shared" si="0"/>
        <v>55.419999999999995</v>
      </c>
      <c r="H11" s="33">
        <v>66.5</v>
      </c>
      <c r="I11" s="33">
        <v>5746.39</v>
      </c>
      <c r="J11" s="33">
        <v>1.28</v>
      </c>
      <c r="K11" s="33">
        <f t="shared" si="1"/>
        <v>281.35314786394969</v>
      </c>
      <c r="L11" s="47"/>
      <c r="M11" s="48"/>
      <c r="N11" s="1"/>
      <c r="O11" s="1"/>
      <c r="P11" s="1"/>
      <c r="Q11" s="1"/>
      <c r="R11" s="1"/>
      <c r="S11" s="1"/>
    </row>
    <row r="12" spans="1:19" ht="14.25" thickBot="1" x14ac:dyDescent="0.2">
      <c r="A12" s="44"/>
      <c r="B12" s="10">
        <v>70</v>
      </c>
      <c r="C12" s="11">
        <f>PI()*B12/10*B12/10/4*100/1000</f>
        <v>3.8484510006474961</v>
      </c>
      <c r="D12" s="1"/>
      <c r="E12" s="1"/>
      <c r="F12" s="1"/>
      <c r="G12" s="34">
        <f t="shared" si="0"/>
        <v>55.419999999999995</v>
      </c>
      <c r="H12" s="35">
        <v>66.5</v>
      </c>
      <c r="I12" s="35"/>
      <c r="J12" s="35"/>
      <c r="K12" s="35" t="e">
        <f t="shared" si="1"/>
        <v>#DIV/0!</v>
      </c>
      <c r="L12" s="49"/>
      <c r="M12" s="50"/>
      <c r="N12" s="1"/>
      <c r="O12" s="1"/>
      <c r="P12" s="1"/>
      <c r="Q12" s="1"/>
      <c r="R12" s="1"/>
      <c r="S12" s="1"/>
    </row>
    <row r="13" spans="1:19" ht="14.25" thickTop="1" x14ac:dyDescent="0.15">
      <c r="A13" s="44"/>
      <c r="B13" s="10">
        <v>40</v>
      </c>
      <c r="C13" s="11">
        <f>PI()*B13/10*B13/10/4*100/1000</f>
        <v>1.2566370614359172</v>
      </c>
      <c r="D13" s="1"/>
      <c r="E13" s="1"/>
      <c r="F13" s="1"/>
      <c r="G13" s="1">
        <v>55.42</v>
      </c>
      <c r="H13" s="1">
        <v>66.5</v>
      </c>
      <c r="I13" s="1">
        <v>1074.93</v>
      </c>
      <c r="J13" s="1">
        <v>0.44</v>
      </c>
      <c r="K13" s="33">
        <f t="shared" si="1"/>
        <v>153.10668651367766</v>
      </c>
      <c r="L13" s="1"/>
      <c r="M13" s="1"/>
      <c r="N13" s="1"/>
      <c r="O13" s="1"/>
      <c r="P13" s="1"/>
      <c r="Q13" s="1"/>
      <c r="R13" s="1"/>
      <c r="S13" s="1"/>
    </row>
    <row r="14" spans="1:19" ht="14.25" thickBot="1" x14ac:dyDescent="0.2">
      <c r="A14" s="43"/>
      <c r="B14" s="8"/>
      <c r="C14" s="9">
        <f>C12-C13</f>
        <v>2.5918139392115789</v>
      </c>
      <c r="D14" s="1"/>
      <c r="E14" s="1"/>
      <c r="F14" s="1"/>
      <c r="G14" s="1">
        <v>55.42</v>
      </c>
      <c r="H14" s="1">
        <v>66.5</v>
      </c>
      <c r="I14" s="1">
        <v>1915.22</v>
      </c>
      <c r="J14" s="1">
        <v>1.84</v>
      </c>
      <c r="K14" s="33">
        <f t="shared" si="1"/>
        <v>65.233021636433818</v>
      </c>
      <c r="L14" s="1"/>
      <c r="M14" s="1"/>
      <c r="N14" s="1"/>
      <c r="O14" s="1"/>
      <c r="P14" s="1"/>
      <c r="Q14" s="1"/>
      <c r="R14" s="1"/>
      <c r="S14" s="1"/>
    </row>
    <row r="15" spans="1:19" ht="15" thickTop="1" thickBot="1" x14ac:dyDescent="0.2">
      <c r="A15" s="1"/>
      <c r="B15" s="1"/>
      <c r="C15" s="1"/>
      <c r="D15" s="1"/>
      <c r="E15" s="1"/>
      <c r="F15" s="1"/>
      <c r="G15" s="1">
        <v>55.42</v>
      </c>
      <c r="H15" s="1">
        <v>66.5</v>
      </c>
      <c r="I15" s="1">
        <v>966.95</v>
      </c>
      <c r="J15" s="1">
        <v>0.76</v>
      </c>
      <c r="K15" s="33">
        <f t="shared" si="1"/>
        <v>79.736483000773461</v>
      </c>
      <c r="L15" s="1"/>
      <c r="M15" s="1"/>
      <c r="N15" s="1"/>
      <c r="O15" s="1"/>
      <c r="P15" s="1"/>
      <c r="Q15" s="1"/>
      <c r="R15" s="1"/>
      <c r="S15" s="1"/>
    </row>
    <row r="16" spans="1:19" ht="14.25" thickTop="1" x14ac:dyDescent="0.15">
      <c r="A16" s="12"/>
      <c r="B16" s="13" t="s">
        <v>26</v>
      </c>
      <c r="C16" s="13" t="s">
        <v>24</v>
      </c>
      <c r="D16" s="13" t="s">
        <v>33</v>
      </c>
      <c r="E16" s="13"/>
      <c r="F16" s="14" t="s">
        <v>32</v>
      </c>
      <c r="G16" s="1">
        <v>55.42</v>
      </c>
      <c r="H16" s="1">
        <v>66.5</v>
      </c>
      <c r="I16" s="1">
        <v>2902.99</v>
      </c>
      <c r="J16" s="1">
        <v>3.84</v>
      </c>
      <c r="K16" s="33">
        <f t="shared" si="1"/>
        <v>47.378462809843356</v>
      </c>
      <c r="L16" s="1"/>
      <c r="M16" s="1"/>
      <c r="N16" s="1"/>
      <c r="O16" s="1"/>
      <c r="P16" s="1"/>
      <c r="Q16" s="15"/>
      <c r="R16" s="1"/>
      <c r="S16" s="1"/>
    </row>
    <row r="17" spans="1:19" x14ac:dyDescent="0.15">
      <c r="A17" s="16"/>
      <c r="B17" s="17" t="s">
        <v>31</v>
      </c>
      <c r="C17" s="17" t="s">
        <v>25</v>
      </c>
      <c r="D17" s="17" t="s">
        <v>30</v>
      </c>
      <c r="E17" s="17" t="s">
        <v>29</v>
      </c>
      <c r="F17" s="18" t="s">
        <v>28</v>
      </c>
      <c r="G17" s="1">
        <v>55.82</v>
      </c>
      <c r="H17" s="1">
        <v>66.5</v>
      </c>
      <c r="I17" s="1">
        <v>2897.18</v>
      </c>
      <c r="J17" s="1">
        <v>3.91</v>
      </c>
      <c r="K17" s="33">
        <f t="shared" si="1"/>
        <v>46.10436670859962</v>
      </c>
      <c r="L17" s="1"/>
      <c r="M17" s="1"/>
      <c r="N17" s="1"/>
      <c r="O17" s="1"/>
      <c r="P17" s="1"/>
      <c r="Q17" s="1"/>
      <c r="R17" s="1"/>
      <c r="S17" s="1"/>
    </row>
    <row r="18" spans="1:19" x14ac:dyDescent="0.15">
      <c r="A18" s="16"/>
      <c r="B18" s="17">
        <f>[1]Sheet1!A16-[1]Sheet1!A31</f>
        <v>-8.0874406380893724</v>
      </c>
      <c r="C18" s="17">
        <f>0.02</f>
        <v>0.02</v>
      </c>
      <c r="D18" s="17">
        <v>500</v>
      </c>
      <c r="E18" s="17">
        <v>0.5</v>
      </c>
      <c r="F18" s="18">
        <f>B18*E18/C18/D18</f>
        <v>-0.40437203190446858</v>
      </c>
      <c r="G18" s="1">
        <v>55.42</v>
      </c>
      <c r="H18" s="1">
        <v>66.5</v>
      </c>
      <c r="I18" s="1"/>
      <c r="J18" s="1"/>
      <c r="K18" s="33" t="e">
        <f t="shared" si="1"/>
        <v>#DIV/0!</v>
      </c>
      <c r="L18" s="1"/>
      <c r="M18" s="1"/>
      <c r="N18" s="1"/>
      <c r="O18" s="1"/>
      <c r="P18" s="1"/>
      <c r="Q18" s="1"/>
      <c r="R18" s="1"/>
      <c r="S18" s="1"/>
    </row>
    <row r="19" spans="1:19" x14ac:dyDescent="0.15">
      <c r="A19" s="16" t="s">
        <v>27</v>
      </c>
      <c r="B19" s="17">
        <v>0.6</v>
      </c>
      <c r="C19" s="17">
        <f>1000*B19*E19/D19/F19</f>
        <v>-0.14466875892598927</v>
      </c>
      <c r="D19" s="17">
        <v>1000</v>
      </c>
      <c r="E19" s="17">
        <v>9.7500000000000003E-2</v>
      </c>
      <c r="F19" s="18">
        <v>-0.40437203190446858</v>
      </c>
      <c r="G19" s="1">
        <v>55.42</v>
      </c>
      <c r="H19" s="1">
        <v>66.5</v>
      </c>
      <c r="I19" s="1"/>
      <c r="J19" s="1"/>
      <c r="K19" s="33" t="e">
        <f t="shared" si="1"/>
        <v>#DIV/0!</v>
      </c>
      <c r="L19" s="1"/>
      <c r="M19" s="1"/>
      <c r="N19" s="1"/>
      <c r="O19" s="1"/>
      <c r="P19" s="1"/>
      <c r="Q19" s="1"/>
      <c r="R19" s="1"/>
      <c r="S19" s="1"/>
    </row>
    <row r="20" spans="1:19" x14ac:dyDescent="0.15">
      <c r="A20" s="16"/>
      <c r="B20" s="17">
        <f>[1]Sheet1!A91-[1]Sheet1!A76</f>
        <v>1.017720376934141</v>
      </c>
      <c r="C20" s="17">
        <v>0.02</v>
      </c>
      <c r="D20" s="17">
        <v>500</v>
      </c>
      <c r="E20" s="17">
        <v>0.5</v>
      </c>
      <c r="F20" s="18">
        <f>B20*E20/C20/D20</f>
        <v>5.0886018846707043E-2</v>
      </c>
      <c r="G20" s="1">
        <v>55.42</v>
      </c>
      <c r="H20" s="1">
        <v>66.5</v>
      </c>
      <c r="I20" s="1"/>
      <c r="J20" s="1"/>
      <c r="K20" s="33" t="e">
        <f t="shared" si="1"/>
        <v>#DIV/0!</v>
      </c>
      <c r="L20" s="1"/>
      <c r="M20" s="1"/>
      <c r="N20" s="1"/>
      <c r="O20" s="1"/>
      <c r="P20" s="1"/>
      <c r="Q20" s="1"/>
      <c r="R20" s="1"/>
      <c r="S20" s="1"/>
    </row>
    <row r="21" spans="1:19" ht="14.25" thickBot="1" x14ac:dyDescent="0.2">
      <c r="A21" s="19" t="s">
        <v>27</v>
      </c>
      <c r="B21" s="20">
        <f>B19/B18*B20</f>
        <v>-7.5503766084488277E-2</v>
      </c>
      <c r="C21" s="20">
        <f>1000*B21*E21/D21/F21</f>
        <v>-0.14466875892598927</v>
      </c>
      <c r="D21" s="20">
        <v>1000</v>
      </c>
      <c r="E21" s="20">
        <v>9.7500000000000003E-2</v>
      </c>
      <c r="F21" s="21">
        <v>5.0886018846707043E-2</v>
      </c>
      <c r="G21" s="1">
        <v>55.42</v>
      </c>
      <c r="H21" s="1">
        <v>66.5</v>
      </c>
      <c r="I21" s="1"/>
      <c r="J21" s="1"/>
      <c r="K21" s="33" t="e">
        <f t="shared" si="1"/>
        <v>#DIV/0!</v>
      </c>
      <c r="L21" s="1"/>
      <c r="M21" s="1"/>
      <c r="N21" s="1"/>
      <c r="O21" s="1"/>
      <c r="P21" s="1"/>
      <c r="Q21" s="1"/>
      <c r="R21" s="1"/>
      <c r="S21" s="1"/>
    </row>
    <row r="22" spans="1:19" ht="14.25" thickTop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15">
      <c r="A25" s="1" t="s">
        <v>23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</sheetData>
  <mergeCells count="5">
    <mergeCell ref="A3:A4"/>
    <mergeCell ref="A6:A8"/>
    <mergeCell ref="A11:A14"/>
    <mergeCell ref="L5:M12"/>
    <mergeCell ref="G3:M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09"/>
  <sheetViews>
    <sheetView zoomScale="136" zoomScaleNormal="136" workbookViewId="0">
      <selection activeCell="J11" sqref="J11"/>
    </sheetView>
  </sheetViews>
  <sheetFormatPr defaultRowHeight="13.5" x14ac:dyDescent="0.15"/>
  <cols>
    <col min="1" max="4" width="5.625" style="22" customWidth="1"/>
    <col min="5" max="6" width="10.625" style="22" customWidth="1"/>
    <col min="7" max="7" width="10.625" style="25" customWidth="1"/>
    <col min="8" max="11" width="5.625" style="22" customWidth="1"/>
    <col min="12" max="13" width="10.625" style="22" customWidth="1"/>
    <col min="14" max="14" width="10.625" style="29" customWidth="1"/>
    <col min="15" max="15" width="9" style="22"/>
  </cols>
  <sheetData>
    <row r="1" spans="1:28" x14ac:dyDescent="0.15">
      <c r="A1" s="56" t="s">
        <v>36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28" x14ac:dyDescent="0.15">
      <c r="A2" s="54" t="s">
        <v>20</v>
      </c>
      <c r="B2" s="54"/>
      <c r="C2" s="54"/>
      <c r="D2" s="54"/>
      <c r="E2" s="54"/>
      <c r="F2" s="54"/>
      <c r="G2" s="27"/>
      <c r="H2" s="55" t="s">
        <v>34</v>
      </c>
      <c r="I2" s="55"/>
      <c r="J2" s="55"/>
      <c r="K2" s="55"/>
      <c r="L2" s="55"/>
      <c r="M2" s="55"/>
      <c r="N2" s="28"/>
    </row>
    <row r="3" spans="1:28" x14ac:dyDescent="0.15">
      <c r="A3" s="23" t="s">
        <v>37</v>
      </c>
      <c r="B3" s="23" t="s">
        <v>38</v>
      </c>
      <c r="C3" s="23" t="s">
        <v>39</v>
      </c>
      <c r="D3" s="23" t="s">
        <v>40</v>
      </c>
      <c r="E3" s="23" t="s">
        <v>3</v>
      </c>
      <c r="F3" s="23" t="s">
        <v>22</v>
      </c>
      <c r="G3" s="23"/>
      <c r="H3" s="15" t="s">
        <v>37</v>
      </c>
      <c r="I3" s="15" t="s">
        <v>40</v>
      </c>
      <c r="J3" s="15" t="s">
        <v>38</v>
      </c>
      <c r="K3" s="15" t="s">
        <v>39</v>
      </c>
      <c r="L3" s="15" t="s">
        <v>3</v>
      </c>
      <c r="M3" s="15" t="s">
        <v>22</v>
      </c>
      <c r="N3" s="15"/>
    </row>
    <row r="4" spans="1:28" x14ac:dyDescent="0.15">
      <c r="A4" s="23">
        <v>1</v>
      </c>
      <c r="B4" s="17">
        <f>A4+1</f>
        <v>2</v>
      </c>
      <c r="C4" s="23">
        <f>B4+1</f>
        <v>3</v>
      </c>
      <c r="D4" s="23">
        <f>C4+1</f>
        <v>4</v>
      </c>
      <c r="E4" s="23">
        <v>1135.48</v>
      </c>
      <c r="F4" s="23">
        <v>6.02</v>
      </c>
      <c r="G4" s="37">
        <f>E4/F4</f>
        <v>188.61794019933558</v>
      </c>
      <c r="H4" s="15">
        <v>1</v>
      </c>
      <c r="I4" s="15">
        <v>2</v>
      </c>
      <c r="J4" s="29">
        <v>3</v>
      </c>
      <c r="K4" s="15">
        <v>4</v>
      </c>
      <c r="L4" s="15">
        <v>-559.28</v>
      </c>
      <c r="M4" s="15">
        <v>7.58</v>
      </c>
      <c r="N4" s="36">
        <f>-L4/M4</f>
        <v>73.78364116094987</v>
      </c>
      <c r="O4" s="1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x14ac:dyDescent="0.15">
      <c r="A5" s="23">
        <v>1</v>
      </c>
      <c r="B5" s="17">
        <f t="shared" ref="B5:B10" si="0">B4+1</f>
        <v>3</v>
      </c>
      <c r="C5" s="23">
        <f t="shared" ref="C5:C10" si="1">C4+2</f>
        <v>5</v>
      </c>
      <c r="D5" s="23">
        <f t="shared" ref="D5:D10" si="2">D4+3</f>
        <v>7</v>
      </c>
      <c r="E5" s="23">
        <v>807.07</v>
      </c>
      <c r="F5" s="23">
        <v>9.7799999999999994</v>
      </c>
      <c r="G5" s="37">
        <f t="shared" ref="G5:G68" si="3">E5/F5</f>
        <v>82.522494887525568</v>
      </c>
      <c r="H5" s="15">
        <v>1</v>
      </c>
      <c r="I5" s="15">
        <v>2</v>
      </c>
      <c r="J5" s="29">
        <v>4</v>
      </c>
      <c r="K5" s="15">
        <v>5</v>
      </c>
      <c r="L5" s="15">
        <v>-140.36000000000001</v>
      </c>
      <c r="M5" s="15">
        <v>7.29</v>
      </c>
      <c r="N5" s="36">
        <f t="shared" ref="N5:N68" si="4">-L5/M5</f>
        <v>19.25377229080933</v>
      </c>
      <c r="O5" s="15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x14ac:dyDescent="0.15">
      <c r="A6" s="23">
        <v>1</v>
      </c>
      <c r="B6" s="17">
        <f t="shared" si="0"/>
        <v>4</v>
      </c>
      <c r="C6" s="23">
        <f t="shared" si="1"/>
        <v>7</v>
      </c>
      <c r="D6" s="23">
        <f t="shared" si="2"/>
        <v>10</v>
      </c>
      <c r="E6" s="23">
        <v>596.20000000000005</v>
      </c>
      <c r="F6" s="23">
        <v>7.63</v>
      </c>
      <c r="G6" s="23">
        <f t="shared" si="3"/>
        <v>78.138925294888608</v>
      </c>
      <c r="H6" s="15">
        <v>1</v>
      </c>
      <c r="I6" s="15">
        <v>2</v>
      </c>
      <c r="J6" s="29">
        <v>5</v>
      </c>
      <c r="K6" s="15">
        <v>6</v>
      </c>
      <c r="L6" s="15">
        <v>-51.17</v>
      </c>
      <c r="M6" s="15">
        <v>6.91</v>
      </c>
      <c r="N6" s="36">
        <f t="shared" si="4"/>
        <v>7.4052098408104197</v>
      </c>
      <c r="O6" s="15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x14ac:dyDescent="0.15">
      <c r="A7" s="23">
        <v>1</v>
      </c>
      <c r="B7" s="17">
        <f t="shared" si="0"/>
        <v>5</v>
      </c>
      <c r="C7" s="23">
        <f t="shared" si="1"/>
        <v>9</v>
      </c>
      <c r="D7" s="23">
        <f t="shared" si="2"/>
        <v>13</v>
      </c>
      <c r="E7" s="23">
        <v>211.02</v>
      </c>
      <c r="F7" s="23">
        <v>5.46</v>
      </c>
      <c r="G7" s="37">
        <f t="shared" si="3"/>
        <v>38.64835164835165</v>
      </c>
      <c r="H7" s="15">
        <v>1</v>
      </c>
      <c r="I7" s="15">
        <v>2</v>
      </c>
      <c r="J7" s="29">
        <v>6</v>
      </c>
      <c r="K7" s="15">
        <v>7</v>
      </c>
      <c r="L7" s="15">
        <v>-27.44</v>
      </c>
      <c r="M7" s="15">
        <v>6.74</v>
      </c>
      <c r="N7" s="36">
        <f t="shared" si="4"/>
        <v>4.0712166172106823</v>
      </c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x14ac:dyDescent="0.15">
      <c r="A8" s="23">
        <v>1</v>
      </c>
      <c r="B8" s="17">
        <f t="shared" si="0"/>
        <v>6</v>
      </c>
      <c r="C8" s="23">
        <f t="shared" si="1"/>
        <v>11</v>
      </c>
      <c r="D8" s="23">
        <f t="shared" si="2"/>
        <v>16</v>
      </c>
      <c r="E8" s="23">
        <v>353.16</v>
      </c>
      <c r="F8" s="23">
        <v>8.41</v>
      </c>
      <c r="G8" s="23">
        <f t="shared" si="3"/>
        <v>41.992865636147442</v>
      </c>
      <c r="H8" s="15">
        <v>1</v>
      </c>
      <c r="I8" s="15">
        <v>2</v>
      </c>
      <c r="J8" s="29">
        <v>7</v>
      </c>
      <c r="K8" s="15">
        <v>8</v>
      </c>
      <c r="L8" s="15">
        <v>-16.02</v>
      </c>
      <c r="M8" s="15">
        <v>6.48</v>
      </c>
      <c r="N8" s="36">
        <f t="shared" si="4"/>
        <v>2.4722222222222219</v>
      </c>
      <c r="O8" s="15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x14ac:dyDescent="0.15">
      <c r="A9" s="23">
        <v>1</v>
      </c>
      <c r="B9" s="17">
        <f t="shared" si="0"/>
        <v>7</v>
      </c>
      <c r="C9" s="23">
        <f t="shared" si="1"/>
        <v>13</v>
      </c>
      <c r="D9" s="23">
        <f t="shared" si="2"/>
        <v>19</v>
      </c>
      <c r="E9" s="23">
        <v>251.81</v>
      </c>
      <c r="F9" s="23">
        <v>8.2100000000000009</v>
      </c>
      <c r="G9" s="23">
        <f t="shared" si="3"/>
        <v>30.671132764920824</v>
      </c>
      <c r="H9" s="15">
        <v>1</v>
      </c>
      <c r="I9" s="15">
        <v>2</v>
      </c>
      <c r="J9" s="29">
        <v>8</v>
      </c>
      <c r="K9" s="15">
        <v>9</v>
      </c>
      <c r="L9" s="15">
        <v>-10.34</v>
      </c>
      <c r="M9" s="15">
        <v>6.35</v>
      </c>
      <c r="N9" s="36">
        <f t="shared" si="4"/>
        <v>1.6283464566929136</v>
      </c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x14ac:dyDescent="0.15">
      <c r="A10" s="23">
        <v>1</v>
      </c>
      <c r="B10" s="17">
        <f t="shared" si="0"/>
        <v>8</v>
      </c>
      <c r="C10" s="23">
        <f t="shared" si="1"/>
        <v>15</v>
      </c>
      <c r="D10" s="23">
        <f t="shared" si="2"/>
        <v>22</v>
      </c>
      <c r="E10" s="23">
        <v>118.67</v>
      </c>
      <c r="F10" s="23">
        <v>8.2100000000000009</v>
      </c>
      <c r="G10" s="23">
        <f t="shared" si="3"/>
        <v>14.454323995127892</v>
      </c>
      <c r="H10" s="15">
        <v>1</v>
      </c>
      <c r="I10" s="15">
        <v>2</v>
      </c>
      <c r="J10" s="29">
        <v>9</v>
      </c>
      <c r="K10" s="15">
        <v>10</v>
      </c>
      <c r="L10" s="15">
        <v>-9.01</v>
      </c>
      <c r="M10" s="15">
        <v>7.06</v>
      </c>
      <c r="N10" s="36">
        <f t="shared" si="4"/>
        <v>1.2762039660056657</v>
      </c>
      <c r="O10" s="15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x14ac:dyDescent="0.15">
      <c r="A11" s="23">
        <v>2</v>
      </c>
      <c r="B11" s="17">
        <f>A11+1</f>
        <v>3</v>
      </c>
      <c r="C11" s="23">
        <f>B11+1</f>
        <v>4</v>
      </c>
      <c r="D11" s="23">
        <f>C11+1</f>
        <v>5</v>
      </c>
      <c r="E11" s="23">
        <v>939.44</v>
      </c>
      <c r="F11" s="23">
        <v>4.91</v>
      </c>
      <c r="G11" s="37">
        <f t="shared" si="3"/>
        <v>191.33197556008147</v>
      </c>
      <c r="H11" s="15">
        <v>1</v>
      </c>
      <c r="I11" s="15">
        <v>2</v>
      </c>
      <c r="J11" s="29">
        <v>10</v>
      </c>
      <c r="K11" s="15">
        <v>11</v>
      </c>
      <c r="L11" s="15">
        <v>-6.73</v>
      </c>
      <c r="M11" s="15">
        <v>6.86</v>
      </c>
      <c r="N11" s="36">
        <f t="shared" si="4"/>
        <v>0.98104956268221577</v>
      </c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x14ac:dyDescent="0.15">
      <c r="A12" s="23">
        <v>2</v>
      </c>
      <c r="B12" s="17">
        <f t="shared" ref="B12:B17" si="5">B11+1</f>
        <v>4</v>
      </c>
      <c r="C12" s="23">
        <f t="shared" ref="C12:C17" si="6">C11+2</f>
        <v>6</v>
      </c>
      <c r="D12" s="23">
        <f t="shared" ref="D12:D17" si="7">D11+3</f>
        <v>8</v>
      </c>
      <c r="E12" s="23">
        <v>868.33</v>
      </c>
      <c r="F12" s="23">
        <v>7.95</v>
      </c>
      <c r="G12" s="23">
        <f t="shared" si="3"/>
        <v>109.22389937106918</v>
      </c>
      <c r="H12" s="15">
        <v>1</v>
      </c>
      <c r="I12" s="15">
        <v>2</v>
      </c>
      <c r="J12" s="29">
        <v>11</v>
      </c>
      <c r="K12" s="15">
        <v>12</v>
      </c>
      <c r="L12" s="15">
        <v>-5.76</v>
      </c>
      <c r="M12" s="15">
        <v>6.67</v>
      </c>
      <c r="N12" s="36">
        <f t="shared" si="4"/>
        <v>0.8635682158920539</v>
      </c>
      <c r="O12" s="15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x14ac:dyDescent="0.15">
      <c r="A13" s="23">
        <v>2</v>
      </c>
      <c r="B13" s="17">
        <f t="shared" si="5"/>
        <v>5</v>
      </c>
      <c r="C13" s="23">
        <f t="shared" si="6"/>
        <v>8</v>
      </c>
      <c r="D13" s="23">
        <f t="shared" si="7"/>
        <v>11</v>
      </c>
      <c r="E13" s="23">
        <v>511.03</v>
      </c>
      <c r="F13" s="23">
        <v>6.4</v>
      </c>
      <c r="G13" s="23">
        <f t="shared" si="3"/>
        <v>79.848437499999989</v>
      </c>
      <c r="H13" s="15">
        <v>1</v>
      </c>
      <c r="I13" s="15">
        <v>2</v>
      </c>
      <c r="J13" s="29">
        <v>12</v>
      </c>
      <c r="K13" s="15">
        <v>13</v>
      </c>
      <c r="L13" s="15">
        <v>-3.98</v>
      </c>
      <c r="M13" s="15">
        <v>6.7</v>
      </c>
      <c r="N13" s="36">
        <f t="shared" si="4"/>
        <v>0.59402985074626868</v>
      </c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x14ac:dyDescent="0.15">
      <c r="A14" s="23">
        <v>2</v>
      </c>
      <c r="B14" s="17">
        <f t="shared" si="5"/>
        <v>6</v>
      </c>
      <c r="C14" s="23">
        <f t="shared" si="6"/>
        <v>10</v>
      </c>
      <c r="D14" s="23">
        <f t="shared" si="7"/>
        <v>14</v>
      </c>
      <c r="E14" s="23">
        <v>316.11</v>
      </c>
      <c r="F14" s="23">
        <v>5.5</v>
      </c>
      <c r="G14" s="23">
        <f t="shared" si="3"/>
        <v>57.474545454545456</v>
      </c>
      <c r="H14" s="15">
        <v>1</v>
      </c>
      <c r="I14" s="15">
        <v>2</v>
      </c>
      <c r="J14" s="29">
        <v>13</v>
      </c>
      <c r="K14" s="15">
        <v>14</v>
      </c>
      <c r="L14" s="15">
        <v>-4.8099999999999996</v>
      </c>
      <c r="M14" s="15">
        <v>6.73</v>
      </c>
      <c r="N14" s="36">
        <f t="shared" si="4"/>
        <v>0.71471025260029708</v>
      </c>
      <c r="O14" s="15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x14ac:dyDescent="0.15">
      <c r="A15" s="23">
        <v>2</v>
      </c>
      <c r="B15" s="17">
        <f t="shared" si="5"/>
        <v>7</v>
      </c>
      <c r="C15" s="23">
        <f t="shared" si="6"/>
        <v>12</v>
      </c>
      <c r="D15" s="23">
        <f t="shared" si="7"/>
        <v>17</v>
      </c>
      <c r="E15" s="23">
        <v>268.70999999999998</v>
      </c>
      <c r="F15" s="23">
        <v>7.05</v>
      </c>
      <c r="G15" s="37">
        <f t="shared" si="3"/>
        <v>38.114893617021274</v>
      </c>
      <c r="H15" s="15">
        <v>1</v>
      </c>
      <c r="I15" s="15">
        <v>2</v>
      </c>
      <c r="J15" s="29">
        <v>14</v>
      </c>
      <c r="K15" s="15">
        <v>15</v>
      </c>
      <c r="L15" s="15">
        <v>-4.3499999999999996</v>
      </c>
      <c r="M15" s="15">
        <v>6.86</v>
      </c>
      <c r="N15" s="36">
        <f t="shared" si="4"/>
        <v>0.63411078717201153</v>
      </c>
      <c r="X15" s="2"/>
      <c r="Y15" s="2"/>
      <c r="Z15" s="2"/>
      <c r="AA15" s="2"/>
      <c r="AB15" s="2"/>
    </row>
    <row r="16" spans="1:28" x14ac:dyDescent="0.15">
      <c r="A16" s="23">
        <v>2</v>
      </c>
      <c r="B16" s="17">
        <f t="shared" si="5"/>
        <v>8</v>
      </c>
      <c r="C16" s="23">
        <f t="shared" si="6"/>
        <v>14</v>
      </c>
      <c r="D16" s="23">
        <f t="shared" si="7"/>
        <v>20</v>
      </c>
      <c r="E16" s="23">
        <v>244.9</v>
      </c>
      <c r="F16" s="23">
        <v>8.0299999999999994</v>
      </c>
      <c r="G16" s="23">
        <f t="shared" si="3"/>
        <v>30.498132004981322</v>
      </c>
      <c r="H16" s="15">
        <v>1</v>
      </c>
      <c r="I16" s="15">
        <v>2</v>
      </c>
      <c r="J16" s="29">
        <v>15</v>
      </c>
      <c r="K16" s="15">
        <v>16</v>
      </c>
      <c r="L16" s="15">
        <v>-5.56</v>
      </c>
      <c r="M16" s="15">
        <v>6.83</v>
      </c>
      <c r="N16" s="36">
        <f t="shared" si="4"/>
        <v>0.81405563689604676</v>
      </c>
      <c r="X16" s="2"/>
      <c r="Y16" s="2"/>
      <c r="Z16" s="2"/>
      <c r="AA16" s="2"/>
      <c r="AB16" s="2"/>
    </row>
    <row r="17" spans="1:28" x14ac:dyDescent="0.15">
      <c r="A17" s="23">
        <v>2</v>
      </c>
      <c r="B17" s="17">
        <f t="shared" si="5"/>
        <v>9</v>
      </c>
      <c r="C17" s="23">
        <f t="shared" si="6"/>
        <v>16</v>
      </c>
      <c r="D17" s="23">
        <f t="shared" si="7"/>
        <v>23</v>
      </c>
      <c r="E17" s="23">
        <v>94.18</v>
      </c>
      <c r="F17" s="23">
        <v>6.1</v>
      </c>
      <c r="G17" s="23">
        <f t="shared" si="3"/>
        <v>15.439344262295084</v>
      </c>
      <c r="H17" s="15">
        <v>1</v>
      </c>
      <c r="I17" s="15">
        <v>2</v>
      </c>
      <c r="J17" s="29">
        <v>16</v>
      </c>
      <c r="K17" s="15">
        <v>17</v>
      </c>
      <c r="L17" s="15">
        <v>-6.77</v>
      </c>
      <c r="M17" s="15">
        <v>6.84</v>
      </c>
      <c r="N17" s="36">
        <f t="shared" si="4"/>
        <v>0.98976608187134496</v>
      </c>
      <c r="X17" s="2"/>
      <c r="Y17" s="2"/>
      <c r="Z17" s="2"/>
      <c r="AA17" s="2"/>
      <c r="AB17" s="2"/>
    </row>
    <row r="18" spans="1:28" x14ac:dyDescent="0.15">
      <c r="A18" s="23">
        <v>3</v>
      </c>
      <c r="B18" s="17">
        <f>A18+1</f>
        <v>4</v>
      </c>
      <c r="C18" s="23">
        <f>B18+1</f>
        <v>5</v>
      </c>
      <c r="D18" s="23">
        <f>C18+1</f>
        <v>6</v>
      </c>
      <c r="E18" s="23">
        <v>1704.52</v>
      </c>
      <c r="F18" s="23">
        <v>7.56</v>
      </c>
      <c r="G18" s="23">
        <f t="shared" si="3"/>
        <v>225.46560846560848</v>
      </c>
      <c r="H18" s="15">
        <v>1</v>
      </c>
      <c r="I18" s="15">
        <v>2</v>
      </c>
      <c r="J18" s="29">
        <v>17</v>
      </c>
      <c r="K18" s="15">
        <v>18</v>
      </c>
      <c r="L18" s="15">
        <v>-8.76</v>
      </c>
      <c r="M18" s="15">
        <v>6.87</v>
      </c>
      <c r="N18" s="36">
        <f t="shared" si="4"/>
        <v>1.2751091703056767</v>
      </c>
      <c r="O18" s="1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x14ac:dyDescent="0.15">
      <c r="A19" s="23">
        <v>3</v>
      </c>
      <c r="B19" s="17">
        <f t="shared" ref="B19:B24" si="8">B18+1</f>
        <v>5</v>
      </c>
      <c r="C19" s="23">
        <f t="shared" ref="C19:C24" si="9">C18+2</f>
        <v>7</v>
      </c>
      <c r="D19" s="23">
        <f t="shared" ref="D19:D24" si="10">D18+3</f>
        <v>9</v>
      </c>
      <c r="E19" s="23">
        <v>787.82</v>
      </c>
      <c r="F19" s="23">
        <v>7.31</v>
      </c>
      <c r="G19" s="23">
        <f t="shared" si="3"/>
        <v>107.77291381668948</v>
      </c>
      <c r="H19" s="15">
        <v>1</v>
      </c>
      <c r="I19" s="15">
        <v>2</v>
      </c>
      <c r="J19" s="29">
        <v>18</v>
      </c>
      <c r="K19" s="15">
        <v>19</v>
      </c>
      <c r="L19" s="15">
        <v>-12.5</v>
      </c>
      <c r="M19" s="15">
        <v>7.03</v>
      </c>
      <c r="N19" s="36">
        <f t="shared" si="4"/>
        <v>1.7780938833570412</v>
      </c>
      <c r="O19" s="1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x14ac:dyDescent="0.15">
      <c r="A20" s="23">
        <v>3</v>
      </c>
      <c r="B20" s="17">
        <f t="shared" si="8"/>
        <v>6</v>
      </c>
      <c r="C20" s="23">
        <f t="shared" si="9"/>
        <v>9</v>
      </c>
      <c r="D20" s="23">
        <f t="shared" si="10"/>
        <v>12</v>
      </c>
      <c r="E20" s="23">
        <v>618.97</v>
      </c>
      <c r="F20" s="23">
        <v>7.79</v>
      </c>
      <c r="G20" s="23">
        <f t="shared" si="3"/>
        <v>79.456996148908857</v>
      </c>
      <c r="H20" s="15">
        <v>1</v>
      </c>
      <c r="I20" s="15">
        <v>2</v>
      </c>
      <c r="J20" s="29">
        <v>19</v>
      </c>
      <c r="K20" s="15">
        <v>20</v>
      </c>
      <c r="L20" s="15">
        <v>-15.69</v>
      </c>
      <c r="M20" s="15">
        <v>6.53</v>
      </c>
      <c r="N20" s="36">
        <f t="shared" si="4"/>
        <v>2.4027565084226645</v>
      </c>
      <c r="O20" s="15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x14ac:dyDescent="0.15">
      <c r="A21" s="23">
        <v>3</v>
      </c>
      <c r="B21" s="17">
        <f t="shared" si="8"/>
        <v>7</v>
      </c>
      <c r="C21" s="23">
        <f t="shared" si="9"/>
        <v>11</v>
      </c>
      <c r="D21" s="23">
        <f t="shared" si="10"/>
        <v>15</v>
      </c>
      <c r="E21" s="23">
        <v>452.09</v>
      </c>
      <c r="F21" s="23">
        <v>7.45</v>
      </c>
      <c r="G21" s="23">
        <f t="shared" si="3"/>
        <v>60.683221476510063</v>
      </c>
      <c r="H21" s="15">
        <v>1</v>
      </c>
      <c r="I21" s="15">
        <v>2</v>
      </c>
      <c r="J21" s="29">
        <v>20</v>
      </c>
      <c r="K21" s="15">
        <v>21</v>
      </c>
      <c r="L21" s="15">
        <v>-25.36</v>
      </c>
      <c r="M21" s="15">
        <v>6.29</v>
      </c>
      <c r="N21" s="36">
        <f t="shared" si="4"/>
        <v>4.0317965023847373</v>
      </c>
      <c r="O21" s="1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x14ac:dyDescent="0.15">
      <c r="A22" s="23">
        <v>3</v>
      </c>
      <c r="B22" s="17">
        <f t="shared" si="8"/>
        <v>8</v>
      </c>
      <c r="C22" s="23">
        <f t="shared" si="9"/>
        <v>13</v>
      </c>
      <c r="D22" s="23">
        <f t="shared" si="10"/>
        <v>18</v>
      </c>
      <c r="E22" s="23">
        <v>261.61</v>
      </c>
      <c r="F22" s="23">
        <v>7.99</v>
      </c>
      <c r="G22" s="37">
        <f t="shared" si="3"/>
        <v>32.74217772215269</v>
      </c>
      <c r="H22" s="15">
        <v>1</v>
      </c>
      <c r="I22" s="15">
        <v>2</v>
      </c>
      <c r="J22" s="29">
        <v>21</v>
      </c>
      <c r="K22" s="15">
        <v>22</v>
      </c>
      <c r="L22" s="15">
        <v>-48.26</v>
      </c>
      <c r="M22" s="15">
        <v>6.31</v>
      </c>
      <c r="N22" s="36">
        <f t="shared" si="4"/>
        <v>7.6481774960380351</v>
      </c>
      <c r="O22" s="15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x14ac:dyDescent="0.15">
      <c r="A23" s="23">
        <v>3</v>
      </c>
      <c r="B23" s="17">
        <f t="shared" si="8"/>
        <v>9</v>
      </c>
      <c r="C23" s="23">
        <f t="shared" si="9"/>
        <v>15</v>
      </c>
      <c r="D23" s="23">
        <f t="shared" si="10"/>
        <v>21</v>
      </c>
      <c r="E23" s="23">
        <v>190.91</v>
      </c>
      <c r="F23" s="23">
        <v>6.35</v>
      </c>
      <c r="G23" s="23">
        <f t="shared" si="3"/>
        <v>30.064566929133861</v>
      </c>
      <c r="H23" s="15">
        <v>1</v>
      </c>
      <c r="I23" s="15">
        <v>2</v>
      </c>
      <c r="J23" s="29">
        <v>22</v>
      </c>
      <c r="K23" s="15">
        <v>23</v>
      </c>
      <c r="L23" s="15">
        <v>-119.08</v>
      </c>
      <c r="M23" s="15">
        <v>6.51</v>
      </c>
      <c r="N23" s="36">
        <f t="shared" si="4"/>
        <v>18.291858678955453</v>
      </c>
      <c r="O23" s="1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x14ac:dyDescent="0.15">
      <c r="A24" s="23">
        <v>3</v>
      </c>
      <c r="B24" s="17">
        <f t="shared" si="8"/>
        <v>10</v>
      </c>
      <c r="C24" s="23">
        <f t="shared" si="9"/>
        <v>17</v>
      </c>
      <c r="D24" s="23">
        <f t="shared" si="10"/>
        <v>24</v>
      </c>
      <c r="E24" s="23">
        <v>86.72</v>
      </c>
      <c r="F24" s="23">
        <v>5.19</v>
      </c>
      <c r="G24" s="23">
        <f t="shared" si="3"/>
        <v>16.709055876685934</v>
      </c>
      <c r="H24" s="15">
        <v>1</v>
      </c>
      <c r="I24" s="15">
        <v>2</v>
      </c>
      <c r="J24" s="29">
        <v>23</v>
      </c>
      <c r="K24" s="15">
        <v>24</v>
      </c>
      <c r="L24" s="15">
        <v>-423.6</v>
      </c>
      <c r="M24" s="15">
        <v>6.39</v>
      </c>
      <c r="N24" s="36">
        <f t="shared" si="4"/>
        <v>66.291079812206576</v>
      </c>
      <c r="O24" s="15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x14ac:dyDescent="0.15">
      <c r="A25" s="23">
        <v>4</v>
      </c>
      <c r="B25" s="17">
        <f>A25+1</f>
        <v>5</v>
      </c>
      <c r="C25" s="23">
        <f>B25+1</f>
        <v>6</v>
      </c>
      <c r="D25" s="23">
        <f>C25+1</f>
        <v>7</v>
      </c>
      <c r="E25" s="23">
        <v>1276.0899999999999</v>
      </c>
      <c r="F25" s="23">
        <v>6.16</v>
      </c>
      <c r="G25" s="23">
        <f t="shared" si="3"/>
        <v>207.15746753246751</v>
      </c>
      <c r="H25" s="15">
        <v>2</v>
      </c>
      <c r="I25" s="15">
        <v>3</v>
      </c>
      <c r="J25" s="29">
        <v>4</v>
      </c>
      <c r="K25" s="15">
        <v>5</v>
      </c>
      <c r="L25" s="15">
        <v>-379.97</v>
      </c>
      <c r="M25" s="15">
        <v>5.64</v>
      </c>
      <c r="N25" s="36">
        <f t="shared" si="4"/>
        <v>67.370567375886537</v>
      </c>
      <c r="O25" s="1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x14ac:dyDescent="0.15">
      <c r="A26" s="23">
        <v>4</v>
      </c>
      <c r="B26" s="17">
        <f t="shared" ref="B26:B31" si="11">B25+1</f>
        <v>6</v>
      </c>
      <c r="C26" s="23">
        <f t="shared" ref="C26:C31" si="12">C25+2</f>
        <v>8</v>
      </c>
      <c r="D26" s="23">
        <f>D25+3</f>
        <v>10</v>
      </c>
      <c r="E26" s="23">
        <v>631.20000000000005</v>
      </c>
      <c r="F26" s="23">
        <v>5.42</v>
      </c>
      <c r="G26" s="23">
        <f t="shared" si="3"/>
        <v>116.45756457564576</v>
      </c>
      <c r="H26" s="15">
        <v>2</v>
      </c>
      <c r="I26" s="15">
        <v>3</v>
      </c>
      <c r="J26" s="29">
        <v>5</v>
      </c>
      <c r="K26" s="15">
        <v>6</v>
      </c>
      <c r="L26" s="15">
        <v>-94.09</v>
      </c>
      <c r="M26" s="15">
        <v>5.89</v>
      </c>
      <c r="N26" s="36">
        <f t="shared" si="4"/>
        <v>15.974533106960953</v>
      </c>
      <c r="O26" s="15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x14ac:dyDescent="0.15">
      <c r="A27" s="23">
        <v>4</v>
      </c>
      <c r="B27" s="17">
        <f t="shared" si="11"/>
        <v>7</v>
      </c>
      <c r="C27" s="23">
        <f t="shared" si="12"/>
        <v>10</v>
      </c>
      <c r="D27" s="23">
        <f>D26+3</f>
        <v>13</v>
      </c>
      <c r="E27" s="23">
        <v>367.9</v>
      </c>
      <c r="F27" s="23">
        <v>4.54</v>
      </c>
      <c r="G27" s="23">
        <f t="shared" si="3"/>
        <v>81.035242290748897</v>
      </c>
      <c r="H27" s="15">
        <v>2</v>
      </c>
      <c r="I27" s="15">
        <v>3</v>
      </c>
      <c r="J27" s="29">
        <v>6</v>
      </c>
      <c r="K27" s="15">
        <v>7</v>
      </c>
      <c r="L27" s="15">
        <v>-46.65</v>
      </c>
      <c r="M27" s="15">
        <v>6.32</v>
      </c>
      <c r="N27" s="36">
        <f t="shared" si="4"/>
        <v>7.3813291139240498</v>
      </c>
      <c r="O27" s="1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15">
      <c r="A28" s="23">
        <v>4</v>
      </c>
      <c r="B28" s="17">
        <f t="shared" si="11"/>
        <v>8</v>
      </c>
      <c r="C28" s="23">
        <f t="shared" si="12"/>
        <v>12</v>
      </c>
      <c r="D28" s="23">
        <f>D27+3</f>
        <v>16</v>
      </c>
      <c r="E28" s="23">
        <v>364.57</v>
      </c>
      <c r="F28" s="23">
        <v>6.32</v>
      </c>
      <c r="G28" s="23">
        <f t="shared" si="3"/>
        <v>57.685126582278478</v>
      </c>
      <c r="H28" s="15">
        <v>2</v>
      </c>
      <c r="I28" s="15">
        <v>3</v>
      </c>
      <c r="J28" s="29">
        <v>7</v>
      </c>
      <c r="K28" s="15">
        <v>8</v>
      </c>
      <c r="L28" s="15">
        <v>-24.6</v>
      </c>
      <c r="M28" s="15">
        <v>6.47</v>
      </c>
      <c r="N28" s="36">
        <f t="shared" si="4"/>
        <v>3.8021638330757344</v>
      </c>
      <c r="O28" s="15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x14ac:dyDescent="0.15">
      <c r="A29" s="23">
        <v>4</v>
      </c>
      <c r="B29" s="17">
        <f t="shared" si="11"/>
        <v>9</v>
      </c>
      <c r="C29" s="23">
        <f t="shared" si="12"/>
        <v>14</v>
      </c>
      <c r="D29" s="23">
        <f>D28+3</f>
        <v>19</v>
      </c>
      <c r="E29" s="23">
        <v>244.94</v>
      </c>
      <c r="F29" s="23">
        <v>5.83</v>
      </c>
      <c r="G29" s="23">
        <f t="shared" si="3"/>
        <v>42.013722126929672</v>
      </c>
      <c r="H29" s="15">
        <v>2</v>
      </c>
      <c r="I29" s="15">
        <v>3</v>
      </c>
      <c r="J29" s="29">
        <v>8</v>
      </c>
      <c r="K29" s="15">
        <v>9</v>
      </c>
      <c r="L29" s="15">
        <v>-16.12</v>
      </c>
      <c r="M29" s="15">
        <v>6.66</v>
      </c>
      <c r="N29" s="36">
        <f t="shared" si="4"/>
        <v>2.4204204204204207</v>
      </c>
      <c r="O29" s="1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15">
      <c r="A30" s="23">
        <v>4</v>
      </c>
      <c r="B30" s="17">
        <f t="shared" si="11"/>
        <v>10</v>
      </c>
      <c r="C30" s="23">
        <f t="shared" si="12"/>
        <v>16</v>
      </c>
      <c r="D30" s="23">
        <f>D29+3</f>
        <v>22</v>
      </c>
      <c r="E30" s="23">
        <v>174.87</v>
      </c>
      <c r="F30" s="23">
        <v>5.87</v>
      </c>
      <c r="G30" s="23">
        <f t="shared" si="3"/>
        <v>29.790459965928449</v>
      </c>
      <c r="H30" s="15">
        <v>2</v>
      </c>
      <c r="I30" s="15">
        <v>3</v>
      </c>
      <c r="J30" s="29">
        <v>9</v>
      </c>
      <c r="K30" s="15">
        <v>10</v>
      </c>
      <c r="L30" s="15">
        <v>-10.55</v>
      </c>
      <c r="M30" s="15">
        <v>6.87</v>
      </c>
      <c r="N30" s="36">
        <f t="shared" si="4"/>
        <v>1.5356622998544396</v>
      </c>
      <c r="O30" s="15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x14ac:dyDescent="0.15">
      <c r="A31" s="23">
        <v>4</v>
      </c>
      <c r="B31" s="17">
        <f t="shared" si="11"/>
        <v>11</v>
      </c>
      <c r="C31" s="23">
        <f t="shared" si="12"/>
        <v>18</v>
      </c>
      <c r="D31" s="23">
        <v>1</v>
      </c>
      <c r="E31" s="23">
        <v>84.67</v>
      </c>
      <c r="F31" s="23">
        <v>5.09</v>
      </c>
      <c r="G31" s="23">
        <f t="shared" si="3"/>
        <v>16.63457760314342</v>
      </c>
      <c r="H31" s="15">
        <v>2</v>
      </c>
      <c r="I31" s="15">
        <v>3</v>
      </c>
      <c r="J31" s="29">
        <v>10</v>
      </c>
      <c r="K31" s="15">
        <v>11</v>
      </c>
      <c r="L31" s="15">
        <v>-7.22</v>
      </c>
      <c r="M31" s="15">
        <v>6.89</v>
      </c>
      <c r="N31" s="36">
        <f t="shared" si="4"/>
        <v>1.0478955007256894</v>
      </c>
      <c r="O31" s="15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x14ac:dyDescent="0.15">
      <c r="A32" s="23">
        <v>5</v>
      </c>
      <c r="B32" s="17">
        <f>A32+1</f>
        <v>6</v>
      </c>
      <c r="C32" s="23">
        <f>B32+1</f>
        <v>7</v>
      </c>
      <c r="D32" s="23">
        <f>C32+1</f>
        <v>8</v>
      </c>
      <c r="E32" s="23">
        <v>915.21</v>
      </c>
      <c r="F32" s="23">
        <v>4.3499999999999996</v>
      </c>
      <c r="G32" s="23">
        <f t="shared" si="3"/>
        <v>210.39310344827589</v>
      </c>
      <c r="H32" s="15">
        <v>2</v>
      </c>
      <c r="I32" s="15">
        <v>3</v>
      </c>
      <c r="J32" s="29">
        <v>11</v>
      </c>
      <c r="K32" s="15">
        <v>12</v>
      </c>
      <c r="L32" s="15">
        <v>-6.9</v>
      </c>
      <c r="M32" s="15">
        <v>7.03</v>
      </c>
      <c r="N32" s="36">
        <f t="shared" si="4"/>
        <v>0.98150782361308675</v>
      </c>
      <c r="O32" s="15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x14ac:dyDescent="0.15">
      <c r="A33" s="23">
        <v>5</v>
      </c>
      <c r="B33" s="17">
        <f t="shared" ref="B33:B38" si="13">B32+1</f>
        <v>7</v>
      </c>
      <c r="C33" s="23">
        <f t="shared" ref="C33:C38" si="14">C32+2</f>
        <v>9</v>
      </c>
      <c r="D33" s="23">
        <f>D32+3</f>
        <v>11</v>
      </c>
      <c r="E33" s="23">
        <v>491.72</v>
      </c>
      <c r="F33" s="23">
        <v>4.49</v>
      </c>
      <c r="G33" s="23">
        <f t="shared" si="3"/>
        <v>109.51447661469933</v>
      </c>
      <c r="H33" s="15">
        <v>2</v>
      </c>
      <c r="I33" s="15">
        <v>3</v>
      </c>
      <c r="J33" s="29">
        <v>12</v>
      </c>
      <c r="K33" s="15">
        <v>13</v>
      </c>
      <c r="L33" s="15">
        <v>-4.0999999999999996</v>
      </c>
      <c r="M33" s="15">
        <v>6.97</v>
      </c>
      <c r="N33" s="36">
        <f t="shared" si="4"/>
        <v>0.58823529411764708</v>
      </c>
      <c r="O33" s="15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x14ac:dyDescent="0.15">
      <c r="A34" s="23">
        <v>5</v>
      </c>
      <c r="B34" s="17">
        <f t="shared" si="13"/>
        <v>8</v>
      </c>
      <c r="C34" s="23">
        <f t="shared" si="14"/>
        <v>11</v>
      </c>
      <c r="D34" s="23">
        <f>D33+3</f>
        <v>14</v>
      </c>
      <c r="E34" s="23">
        <v>332.94</v>
      </c>
      <c r="F34" s="23">
        <v>4.38</v>
      </c>
      <c r="G34" s="23">
        <f t="shared" si="3"/>
        <v>76.013698630136986</v>
      </c>
      <c r="H34" s="15">
        <v>2</v>
      </c>
      <c r="I34" s="15">
        <v>3</v>
      </c>
      <c r="J34" s="29">
        <v>13</v>
      </c>
      <c r="K34" s="15">
        <v>14</v>
      </c>
      <c r="L34" s="15">
        <v>-5.68</v>
      </c>
      <c r="M34" s="15">
        <v>6.99</v>
      </c>
      <c r="N34" s="36">
        <f t="shared" si="4"/>
        <v>0.81258941344778246</v>
      </c>
      <c r="O34" s="15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x14ac:dyDescent="0.15">
      <c r="A35" s="23">
        <v>5</v>
      </c>
      <c r="B35" s="17">
        <f t="shared" si="13"/>
        <v>9</v>
      </c>
      <c r="C35" s="23">
        <f t="shared" si="14"/>
        <v>13</v>
      </c>
      <c r="D35" s="23">
        <f>D34+3</f>
        <v>17</v>
      </c>
      <c r="E35" s="23">
        <v>203.14</v>
      </c>
      <c r="F35" s="23">
        <v>4.95</v>
      </c>
      <c r="G35" s="37">
        <f t="shared" si="3"/>
        <v>41.038383838383837</v>
      </c>
      <c r="H35" s="15">
        <v>2</v>
      </c>
      <c r="I35" s="15">
        <v>3</v>
      </c>
      <c r="J35" s="29">
        <v>14</v>
      </c>
      <c r="K35" s="15">
        <v>15</v>
      </c>
      <c r="L35" s="15">
        <v>-3.94</v>
      </c>
      <c r="M35" s="15">
        <v>6.82</v>
      </c>
      <c r="N35" s="36">
        <f t="shared" si="4"/>
        <v>0.57771260997067442</v>
      </c>
      <c r="O35" s="15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x14ac:dyDescent="0.15">
      <c r="A36" s="23">
        <v>5</v>
      </c>
      <c r="B36" s="17">
        <f t="shared" si="13"/>
        <v>10</v>
      </c>
      <c r="C36" s="23">
        <f t="shared" si="14"/>
        <v>15</v>
      </c>
      <c r="D36" s="23">
        <f>D35+3</f>
        <v>20</v>
      </c>
      <c r="E36" s="23">
        <v>128.41999999999999</v>
      </c>
      <c r="F36" s="23">
        <v>4.8</v>
      </c>
      <c r="G36" s="37">
        <f t="shared" si="3"/>
        <v>26.754166666666666</v>
      </c>
      <c r="H36" s="15">
        <v>2</v>
      </c>
      <c r="I36" s="15">
        <v>3</v>
      </c>
      <c r="J36" s="29">
        <v>15</v>
      </c>
      <c r="K36" s="15">
        <v>16</v>
      </c>
      <c r="L36" s="15">
        <v>-4.57</v>
      </c>
      <c r="M36" s="15">
        <v>6.73</v>
      </c>
      <c r="N36" s="36">
        <f t="shared" si="4"/>
        <v>0.67904903417533435</v>
      </c>
      <c r="O36" s="15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x14ac:dyDescent="0.15">
      <c r="A37" s="23">
        <v>5</v>
      </c>
      <c r="B37" s="17">
        <f t="shared" si="13"/>
        <v>11</v>
      </c>
      <c r="C37" s="23">
        <f t="shared" si="14"/>
        <v>17</v>
      </c>
      <c r="D37" s="23">
        <f>D36+3</f>
        <v>23</v>
      </c>
      <c r="E37" s="23">
        <v>142.38999999999999</v>
      </c>
      <c r="F37" s="23">
        <v>4.63</v>
      </c>
      <c r="G37" s="23">
        <f t="shared" si="3"/>
        <v>30.753779697624189</v>
      </c>
      <c r="H37" s="15">
        <v>2</v>
      </c>
      <c r="I37" s="15">
        <v>3</v>
      </c>
      <c r="J37" s="29">
        <v>16</v>
      </c>
      <c r="K37" s="15">
        <v>17</v>
      </c>
      <c r="L37" s="15">
        <v>-5.55</v>
      </c>
      <c r="M37" s="15">
        <v>6.85</v>
      </c>
      <c r="N37" s="36">
        <f t="shared" si="4"/>
        <v>0.81021897810218979</v>
      </c>
      <c r="O37" s="15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x14ac:dyDescent="0.15">
      <c r="A38" s="23">
        <v>5</v>
      </c>
      <c r="B38" s="17">
        <f t="shared" si="13"/>
        <v>12</v>
      </c>
      <c r="C38" s="23">
        <f t="shared" si="14"/>
        <v>19</v>
      </c>
      <c r="D38" s="23">
        <v>2</v>
      </c>
      <c r="E38" s="23">
        <v>87.4</v>
      </c>
      <c r="F38" s="23">
        <v>5.31</v>
      </c>
      <c r="G38" s="23">
        <f t="shared" si="3"/>
        <v>16.459510357815446</v>
      </c>
      <c r="H38" s="15">
        <v>2</v>
      </c>
      <c r="I38" s="15">
        <v>3</v>
      </c>
      <c r="J38" s="29">
        <v>17</v>
      </c>
      <c r="K38" s="15">
        <v>18</v>
      </c>
      <c r="L38" s="15">
        <v>-6.24</v>
      </c>
      <c r="M38" s="15">
        <v>6.63</v>
      </c>
      <c r="N38" s="36">
        <f t="shared" si="4"/>
        <v>0.94117647058823539</v>
      </c>
      <c r="O38" s="15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x14ac:dyDescent="0.15">
      <c r="A39" s="23">
        <v>6</v>
      </c>
      <c r="B39" s="17">
        <f>A39+1</f>
        <v>7</v>
      </c>
      <c r="C39" s="23">
        <f>B39+1</f>
        <v>8</v>
      </c>
      <c r="D39" s="23">
        <f>C39+1</f>
        <v>9</v>
      </c>
      <c r="E39" s="23">
        <v>1568.34</v>
      </c>
      <c r="F39" s="29">
        <v>7.46</v>
      </c>
      <c r="G39" s="23">
        <f t="shared" si="3"/>
        <v>210.2332439678284</v>
      </c>
      <c r="H39" s="15">
        <v>2</v>
      </c>
      <c r="I39" s="15">
        <v>3</v>
      </c>
      <c r="J39" s="29">
        <v>18</v>
      </c>
      <c r="K39" s="15">
        <v>19</v>
      </c>
      <c r="L39" s="15">
        <v>-8.3800000000000008</v>
      </c>
      <c r="M39" s="15">
        <v>6.66</v>
      </c>
      <c r="N39" s="36">
        <f t="shared" si="4"/>
        <v>1.2582582582582584</v>
      </c>
      <c r="O39" s="15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x14ac:dyDescent="0.15">
      <c r="A40" s="23">
        <v>6</v>
      </c>
      <c r="B40" s="17">
        <f t="shared" ref="B40:B45" si="15">B39+1</f>
        <v>8</v>
      </c>
      <c r="C40" s="23">
        <f t="shared" ref="C40:C45" si="16">C39+2</f>
        <v>10</v>
      </c>
      <c r="D40" s="23">
        <f>D39+3</f>
        <v>12</v>
      </c>
      <c r="E40" s="23">
        <v>926.98</v>
      </c>
      <c r="F40" s="23">
        <v>8.3000000000000007</v>
      </c>
      <c r="G40" s="23">
        <f t="shared" si="3"/>
        <v>111.68433734939758</v>
      </c>
      <c r="H40" s="15">
        <v>2</v>
      </c>
      <c r="I40" s="15">
        <v>3</v>
      </c>
      <c r="J40" s="29">
        <v>19</v>
      </c>
      <c r="K40" s="15">
        <v>20</v>
      </c>
      <c r="L40" s="15">
        <v>-10.64</v>
      </c>
      <c r="M40" s="15">
        <v>6.68</v>
      </c>
      <c r="N40" s="36">
        <f t="shared" si="4"/>
        <v>1.5928143712574852</v>
      </c>
      <c r="O40" s="15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x14ac:dyDescent="0.15">
      <c r="A41" s="23">
        <v>6</v>
      </c>
      <c r="B41" s="17">
        <f t="shared" si="15"/>
        <v>9</v>
      </c>
      <c r="C41" s="23">
        <f t="shared" si="16"/>
        <v>12</v>
      </c>
      <c r="D41" s="23">
        <f>D40+3</f>
        <v>15</v>
      </c>
      <c r="E41" s="23">
        <v>408.57</v>
      </c>
      <c r="F41" s="23">
        <v>5.08</v>
      </c>
      <c r="G41" s="23">
        <f t="shared" si="3"/>
        <v>80.427165354330711</v>
      </c>
      <c r="H41" s="15">
        <v>2</v>
      </c>
      <c r="I41" s="15">
        <v>3</v>
      </c>
      <c r="J41" s="29">
        <v>20</v>
      </c>
      <c r="K41" s="15">
        <v>21</v>
      </c>
      <c r="L41" s="15">
        <v>-16.02</v>
      </c>
      <c r="M41" s="15">
        <v>6.67</v>
      </c>
      <c r="N41" s="36">
        <f t="shared" si="4"/>
        <v>2.4017991004497752</v>
      </c>
      <c r="O41" s="15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x14ac:dyDescent="0.15">
      <c r="A42" s="23">
        <v>6</v>
      </c>
      <c r="B42" s="17">
        <f t="shared" si="15"/>
        <v>10</v>
      </c>
      <c r="C42" s="23">
        <f t="shared" si="16"/>
        <v>14</v>
      </c>
      <c r="D42" s="23">
        <f>D41+3</f>
        <v>18</v>
      </c>
      <c r="E42" s="23">
        <v>513.01</v>
      </c>
      <c r="F42" s="23">
        <v>9.02</v>
      </c>
      <c r="G42" s="23">
        <f t="shared" si="3"/>
        <v>56.874722838137473</v>
      </c>
      <c r="H42" s="15">
        <v>2</v>
      </c>
      <c r="I42" s="15">
        <v>3</v>
      </c>
      <c r="J42" s="29">
        <v>21</v>
      </c>
      <c r="K42" s="15">
        <v>22</v>
      </c>
      <c r="L42" s="15">
        <v>-24.02</v>
      </c>
      <c r="M42" s="15">
        <v>6.61</v>
      </c>
      <c r="N42" s="36">
        <f t="shared" si="4"/>
        <v>3.6338880484114977</v>
      </c>
      <c r="O42" s="15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x14ac:dyDescent="0.15">
      <c r="A43" s="23">
        <v>6</v>
      </c>
      <c r="B43" s="17">
        <f t="shared" si="15"/>
        <v>11</v>
      </c>
      <c r="C43" s="23">
        <f t="shared" si="16"/>
        <v>16</v>
      </c>
      <c r="D43" s="23">
        <f>D42+3</f>
        <v>21</v>
      </c>
      <c r="E43" s="23">
        <v>257.86</v>
      </c>
      <c r="F43" s="23">
        <v>6.1</v>
      </c>
      <c r="G43" s="23">
        <f t="shared" si="3"/>
        <v>42.272131147540989</v>
      </c>
      <c r="H43" s="15">
        <v>2</v>
      </c>
      <c r="I43" s="15">
        <v>3</v>
      </c>
      <c r="J43" s="29">
        <v>22</v>
      </c>
      <c r="K43" s="15">
        <v>23</v>
      </c>
      <c r="L43" s="15">
        <v>-46.16</v>
      </c>
      <c r="M43" s="15">
        <v>6.7</v>
      </c>
      <c r="N43" s="36">
        <f t="shared" si="4"/>
        <v>6.8895522388059698</v>
      </c>
      <c r="O43" s="15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x14ac:dyDescent="0.15">
      <c r="A44" s="23">
        <v>6</v>
      </c>
      <c r="B44" s="17">
        <f t="shared" si="15"/>
        <v>12</v>
      </c>
      <c r="C44" s="23">
        <f t="shared" si="16"/>
        <v>18</v>
      </c>
      <c r="D44" s="23">
        <f>D43+3</f>
        <v>24</v>
      </c>
      <c r="E44" s="23">
        <v>193.13</v>
      </c>
      <c r="F44" s="23">
        <v>6.12</v>
      </c>
      <c r="G44" s="23">
        <f t="shared" si="3"/>
        <v>31.557189542483659</v>
      </c>
      <c r="H44" s="15">
        <v>2</v>
      </c>
      <c r="I44" s="15">
        <v>3</v>
      </c>
      <c r="J44" s="29">
        <v>23</v>
      </c>
      <c r="K44" s="15">
        <v>24</v>
      </c>
      <c r="L44" s="15">
        <v>-99.26</v>
      </c>
      <c r="M44" s="15">
        <v>6.35</v>
      </c>
      <c r="N44" s="36">
        <f t="shared" si="4"/>
        <v>15.631496062992127</v>
      </c>
      <c r="O44" s="15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x14ac:dyDescent="0.15">
      <c r="A45" s="23">
        <v>6</v>
      </c>
      <c r="B45" s="17">
        <f t="shared" si="15"/>
        <v>13</v>
      </c>
      <c r="C45" s="23">
        <f t="shared" si="16"/>
        <v>20</v>
      </c>
      <c r="D45" s="23">
        <v>3</v>
      </c>
      <c r="E45" s="23">
        <v>113.01</v>
      </c>
      <c r="F45" s="23">
        <v>7.48</v>
      </c>
      <c r="G45" s="23">
        <f t="shared" si="3"/>
        <v>15.108288770053475</v>
      </c>
      <c r="H45" s="15">
        <v>2</v>
      </c>
      <c r="I45" s="15">
        <v>3</v>
      </c>
      <c r="J45" s="29">
        <v>24</v>
      </c>
      <c r="K45" s="15">
        <v>1</v>
      </c>
      <c r="L45" s="15">
        <v>-371.97</v>
      </c>
      <c r="M45" s="15">
        <v>6.4</v>
      </c>
      <c r="N45" s="36">
        <f t="shared" si="4"/>
        <v>58.120312500000004</v>
      </c>
      <c r="O45" s="15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x14ac:dyDescent="0.15">
      <c r="A46" s="23">
        <v>7</v>
      </c>
      <c r="B46" s="17">
        <f>A46+1</f>
        <v>8</v>
      </c>
      <c r="C46" s="23">
        <f>B46+1</f>
        <v>9</v>
      </c>
      <c r="D46" s="23">
        <f>C46+1</f>
        <v>10</v>
      </c>
      <c r="E46" s="23">
        <v>1869.61</v>
      </c>
      <c r="F46" s="23">
        <v>8.9499999999999993</v>
      </c>
      <c r="G46" s="23">
        <f t="shared" si="3"/>
        <v>208.89497206703911</v>
      </c>
      <c r="H46" s="15">
        <v>3</v>
      </c>
      <c r="I46" s="15">
        <v>4</v>
      </c>
      <c r="J46" s="15">
        <v>5</v>
      </c>
      <c r="K46" s="15">
        <v>6</v>
      </c>
      <c r="L46" s="15">
        <v>-314.33</v>
      </c>
      <c r="M46" s="15">
        <v>5.5</v>
      </c>
      <c r="N46" s="36">
        <f t="shared" si="4"/>
        <v>57.150909090909089</v>
      </c>
      <c r="O46" s="15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x14ac:dyDescent="0.15">
      <c r="A47" s="23">
        <v>7</v>
      </c>
      <c r="B47" s="17">
        <f t="shared" ref="B47:B52" si="17">B46+1</f>
        <v>9</v>
      </c>
      <c r="C47" s="23">
        <f t="shared" ref="C47:C52" si="18">C46+2</f>
        <v>11</v>
      </c>
      <c r="D47" s="23">
        <f>D46+3</f>
        <v>13</v>
      </c>
      <c r="E47" s="23">
        <v>733.92</v>
      </c>
      <c r="F47" s="23">
        <v>6.42</v>
      </c>
      <c r="G47" s="23">
        <f t="shared" si="3"/>
        <v>114.31775700934578</v>
      </c>
      <c r="H47" s="15">
        <v>3</v>
      </c>
      <c r="I47" s="15">
        <v>4</v>
      </c>
      <c r="J47" s="15">
        <v>6</v>
      </c>
      <c r="K47" s="15">
        <v>7</v>
      </c>
      <c r="L47" s="15">
        <v>-91.3</v>
      </c>
      <c r="M47" s="15">
        <v>5.52</v>
      </c>
      <c r="N47" s="36">
        <f t="shared" si="4"/>
        <v>16.539855072463769</v>
      </c>
      <c r="O47" s="15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x14ac:dyDescent="0.15">
      <c r="A48" s="23">
        <v>7</v>
      </c>
      <c r="B48" s="17">
        <f t="shared" si="17"/>
        <v>10</v>
      </c>
      <c r="C48" s="23">
        <f t="shared" si="18"/>
        <v>13</v>
      </c>
      <c r="D48" s="23">
        <f>D47+3</f>
        <v>16</v>
      </c>
      <c r="E48" s="23">
        <v>682.97</v>
      </c>
      <c r="F48" s="23">
        <v>8.73</v>
      </c>
      <c r="G48" s="23">
        <f t="shared" si="3"/>
        <v>78.232531500572733</v>
      </c>
      <c r="H48" s="15">
        <v>3</v>
      </c>
      <c r="I48" s="15">
        <v>4</v>
      </c>
      <c r="J48" s="15">
        <v>7</v>
      </c>
      <c r="K48" s="15">
        <v>8</v>
      </c>
      <c r="L48" s="15">
        <v>-35.72</v>
      </c>
      <c r="M48" s="15">
        <v>5.37</v>
      </c>
      <c r="N48" s="36">
        <f t="shared" si="4"/>
        <v>6.6517690875232773</v>
      </c>
      <c r="O48" s="15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x14ac:dyDescent="0.15">
      <c r="A49" s="23">
        <v>7</v>
      </c>
      <c r="B49" s="17">
        <f t="shared" si="17"/>
        <v>11</v>
      </c>
      <c r="C49" s="23">
        <f t="shared" si="18"/>
        <v>15</v>
      </c>
      <c r="D49" s="23">
        <f>D48+3</f>
        <v>19</v>
      </c>
      <c r="E49" s="23">
        <v>510.68</v>
      </c>
      <c r="F49" s="23">
        <v>8.84</v>
      </c>
      <c r="G49" s="23">
        <f t="shared" si="3"/>
        <v>57.769230769230774</v>
      </c>
      <c r="H49" s="15">
        <v>3</v>
      </c>
      <c r="I49" s="15">
        <v>4</v>
      </c>
      <c r="J49" s="15">
        <v>8</v>
      </c>
      <c r="K49" s="15">
        <v>9</v>
      </c>
      <c r="L49" s="15">
        <v>-17.670000000000002</v>
      </c>
      <c r="M49" s="15">
        <v>5.37</v>
      </c>
      <c r="N49" s="36">
        <f t="shared" si="4"/>
        <v>3.2905027932960897</v>
      </c>
      <c r="O49" s="1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x14ac:dyDescent="0.15">
      <c r="A50" s="23">
        <v>7</v>
      </c>
      <c r="B50" s="17">
        <f t="shared" si="17"/>
        <v>12</v>
      </c>
      <c r="C50" s="23">
        <f t="shared" si="18"/>
        <v>17</v>
      </c>
      <c r="D50" s="23">
        <f>D49+3</f>
        <v>22</v>
      </c>
      <c r="E50" s="23">
        <v>411.69</v>
      </c>
      <c r="F50" s="23">
        <v>9.33</v>
      </c>
      <c r="G50" s="23">
        <f t="shared" si="3"/>
        <v>44.125401929260448</v>
      </c>
      <c r="H50" s="15">
        <v>3</v>
      </c>
      <c r="I50" s="15">
        <v>4</v>
      </c>
      <c r="J50" s="15">
        <v>9</v>
      </c>
      <c r="K50" s="15">
        <v>10</v>
      </c>
      <c r="L50" s="15">
        <v>-10.09</v>
      </c>
      <c r="M50" s="15">
        <v>5.04</v>
      </c>
      <c r="N50" s="36">
        <f t="shared" si="4"/>
        <v>2.001984126984127</v>
      </c>
      <c r="O50" s="15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x14ac:dyDescent="0.15">
      <c r="A51" s="23">
        <v>7</v>
      </c>
      <c r="B51" s="17">
        <f t="shared" si="17"/>
        <v>13</v>
      </c>
      <c r="C51" s="23">
        <f t="shared" si="18"/>
        <v>19</v>
      </c>
      <c r="D51" s="23">
        <v>1</v>
      </c>
      <c r="E51" s="23">
        <v>261.31</v>
      </c>
      <c r="F51" s="23">
        <v>7.93</v>
      </c>
      <c r="G51" s="23">
        <f t="shared" si="3"/>
        <v>32.952080706179068</v>
      </c>
      <c r="H51" s="15">
        <v>3</v>
      </c>
      <c r="I51" s="15">
        <v>4</v>
      </c>
      <c r="J51" s="15">
        <v>10</v>
      </c>
      <c r="K51" s="15">
        <v>11</v>
      </c>
      <c r="L51" s="15">
        <v>-6.33</v>
      </c>
      <c r="M51" s="15">
        <v>5.08</v>
      </c>
      <c r="N51" s="36">
        <f t="shared" si="4"/>
        <v>1.2460629921259843</v>
      </c>
      <c r="O51" s="15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x14ac:dyDescent="0.15">
      <c r="A52" s="23">
        <v>7</v>
      </c>
      <c r="B52" s="17">
        <f t="shared" si="17"/>
        <v>14</v>
      </c>
      <c r="C52" s="23">
        <f t="shared" si="18"/>
        <v>21</v>
      </c>
      <c r="D52" s="23">
        <f>D51+3</f>
        <v>4</v>
      </c>
      <c r="E52" s="23">
        <v>110.01</v>
      </c>
      <c r="F52" s="23">
        <v>5.94</v>
      </c>
      <c r="G52" s="23">
        <f t="shared" si="3"/>
        <v>18.520202020202021</v>
      </c>
      <c r="H52" s="15">
        <v>3</v>
      </c>
      <c r="I52" s="15">
        <v>4</v>
      </c>
      <c r="J52" s="15">
        <v>11</v>
      </c>
      <c r="K52" s="15">
        <v>12</v>
      </c>
      <c r="L52" s="15">
        <v>-4.29</v>
      </c>
      <c r="M52" s="15">
        <v>4.8</v>
      </c>
      <c r="N52" s="36">
        <f t="shared" si="4"/>
        <v>0.89375000000000004</v>
      </c>
      <c r="O52" s="15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x14ac:dyDescent="0.15">
      <c r="A53" s="23">
        <v>8</v>
      </c>
      <c r="B53" s="17">
        <f>A53+1</f>
        <v>9</v>
      </c>
      <c r="C53" s="23">
        <f>B53+1</f>
        <v>10</v>
      </c>
      <c r="D53" s="23">
        <f>C53+1</f>
        <v>11</v>
      </c>
      <c r="E53" s="23">
        <v>1370.07</v>
      </c>
      <c r="F53" s="23">
        <v>6.27</v>
      </c>
      <c r="G53" s="23">
        <f t="shared" si="3"/>
        <v>218.51196172248805</v>
      </c>
      <c r="H53" s="15">
        <v>3</v>
      </c>
      <c r="I53" s="15">
        <v>4</v>
      </c>
      <c r="J53" s="15">
        <v>12</v>
      </c>
      <c r="K53" s="15">
        <v>13</v>
      </c>
      <c r="L53" s="15">
        <v>-3.71</v>
      </c>
      <c r="M53" s="15">
        <v>4.8</v>
      </c>
      <c r="N53" s="36">
        <f t="shared" si="4"/>
        <v>0.7729166666666667</v>
      </c>
      <c r="O53" s="15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x14ac:dyDescent="0.15">
      <c r="A54" s="23">
        <v>8</v>
      </c>
      <c r="B54" s="17">
        <f t="shared" ref="B54:B59" si="19">B53+1</f>
        <v>10</v>
      </c>
      <c r="C54" s="23">
        <f t="shared" ref="C54:C59" si="20">C53+2</f>
        <v>12</v>
      </c>
      <c r="D54" s="23">
        <f>D53+3</f>
        <v>14</v>
      </c>
      <c r="E54" s="23">
        <v>596.04</v>
      </c>
      <c r="F54" s="23">
        <v>5.22</v>
      </c>
      <c r="G54" s="23">
        <f t="shared" si="3"/>
        <v>114.18390804597701</v>
      </c>
      <c r="H54" s="15">
        <v>3</v>
      </c>
      <c r="I54" s="15">
        <v>4</v>
      </c>
      <c r="J54" s="15">
        <v>13</v>
      </c>
      <c r="K54" s="15">
        <v>14</v>
      </c>
      <c r="L54" s="15">
        <v>-0.26</v>
      </c>
      <c r="M54" s="15">
        <v>4.71</v>
      </c>
      <c r="N54" s="36">
        <f t="shared" si="4"/>
        <v>5.5201698513800426E-2</v>
      </c>
      <c r="O54" s="15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x14ac:dyDescent="0.15">
      <c r="A55" s="23">
        <v>8</v>
      </c>
      <c r="B55" s="17">
        <f t="shared" si="19"/>
        <v>11</v>
      </c>
      <c r="C55" s="23">
        <f t="shared" si="20"/>
        <v>14</v>
      </c>
      <c r="D55" s="23">
        <f>D54+3</f>
        <v>17</v>
      </c>
      <c r="E55" s="23">
        <v>508.68</v>
      </c>
      <c r="F55" s="23">
        <v>6.41</v>
      </c>
      <c r="G55" s="23">
        <f t="shared" si="3"/>
        <v>79.35725429017161</v>
      </c>
      <c r="H55" s="15">
        <v>3</v>
      </c>
      <c r="I55" s="15">
        <v>4</v>
      </c>
      <c r="J55" s="15">
        <v>14</v>
      </c>
      <c r="K55" s="15">
        <v>15</v>
      </c>
      <c r="L55" s="15">
        <v>-0.01</v>
      </c>
      <c r="M55" s="15">
        <v>4.6100000000000003</v>
      </c>
      <c r="N55" s="36">
        <f t="shared" si="4"/>
        <v>2.1691973969631237E-3</v>
      </c>
      <c r="O55" s="15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x14ac:dyDescent="0.15">
      <c r="A56" s="23">
        <v>8</v>
      </c>
      <c r="B56" s="17">
        <f t="shared" si="19"/>
        <v>12</v>
      </c>
      <c r="C56" s="23">
        <f t="shared" si="20"/>
        <v>16</v>
      </c>
      <c r="D56" s="23">
        <f>D55+3</f>
        <v>20</v>
      </c>
      <c r="E56" s="23">
        <v>356.79</v>
      </c>
      <c r="F56" s="23">
        <v>6.15</v>
      </c>
      <c r="G56" s="23">
        <f t="shared" si="3"/>
        <v>58.014634146341464</v>
      </c>
      <c r="H56" s="15">
        <v>3</v>
      </c>
      <c r="I56" s="15">
        <v>4</v>
      </c>
      <c r="J56" s="15">
        <v>15</v>
      </c>
      <c r="K56" s="15">
        <v>16</v>
      </c>
      <c r="L56" s="15">
        <v>-2.09</v>
      </c>
      <c r="M56" s="15">
        <v>4.46</v>
      </c>
      <c r="N56" s="36">
        <f t="shared" si="4"/>
        <v>0.46860986547085198</v>
      </c>
      <c r="O56" s="15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x14ac:dyDescent="0.15">
      <c r="A57" s="23">
        <v>8</v>
      </c>
      <c r="B57" s="17">
        <f t="shared" si="19"/>
        <v>13</v>
      </c>
      <c r="C57" s="23">
        <f t="shared" si="20"/>
        <v>18</v>
      </c>
      <c r="D57" s="23">
        <f>D56+3</f>
        <v>23</v>
      </c>
      <c r="E57" s="23">
        <v>299.74</v>
      </c>
      <c r="F57" s="23">
        <v>6.6</v>
      </c>
      <c r="G57" s="23">
        <f t="shared" si="3"/>
        <v>45.415151515151521</v>
      </c>
      <c r="H57" s="15">
        <v>3</v>
      </c>
      <c r="I57" s="15">
        <v>4</v>
      </c>
      <c r="J57" s="15">
        <v>16</v>
      </c>
      <c r="K57" s="15">
        <v>17</v>
      </c>
      <c r="L57" s="15">
        <v>-1.1200000000000001</v>
      </c>
      <c r="M57" s="15">
        <v>4.62</v>
      </c>
      <c r="N57" s="36">
        <f t="shared" si="4"/>
        <v>0.24242424242424243</v>
      </c>
      <c r="O57" s="15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x14ac:dyDescent="0.15">
      <c r="A58" s="23">
        <v>8</v>
      </c>
      <c r="B58" s="17">
        <f t="shared" si="19"/>
        <v>14</v>
      </c>
      <c r="C58" s="23">
        <f t="shared" si="20"/>
        <v>20</v>
      </c>
      <c r="D58" s="23">
        <v>2</v>
      </c>
      <c r="E58" s="23">
        <v>233.52</v>
      </c>
      <c r="F58" s="23">
        <v>7.31</v>
      </c>
      <c r="G58" s="23">
        <f t="shared" si="3"/>
        <v>31.945280437756502</v>
      </c>
      <c r="H58" s="15">
        <v>3</v>
      </c>
      <c r="I58" s="15">
        <v>4</v>
      </c>
      <c r="J58" s="15">
        <v>17</v>
      </c>
      <c r="K58" s="15">
        <v>18</v>
      </c>
      <c r="L58" s="15">
        <v>-1.9</v>
      </c>
      <c r="M58" s="15">
        <v>4.3099999999999996</v>
      </c>
      <c r="N58" s="36">
        <f t="shared" si="4"/>
        <v>0.44083526682134572</v>
      </c>
      <c r="O58" s="15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x14ac:dyDescent="0.15">
      <c r="A59" s="23">
        <v>8</v>
      </c>
      <c r="B59" s="17">
        <f t="shared" si="19"/>
        <v>15</v>
      </c>
      <c r="C59" s="23">
        <f t="shared" si="20"/>
        <v>22</v>
      </c>
      <c r="D59" s="23">
        <f>D58+3</f>
        <v>5</v>
      </c>
      <c r="E59" s="23">
        <v>88.16</v>
      </c>
      <c r="F59" s="23">
        <v>5.0599999999999996</v>
      </c>
      <c r="G59" s="23">
        <f t="shared" si="3"/>
        <v>17.422924901185773</v>
      </c>
      <c r="H59" s="15">
        <v>3</v>
      </c>
      <c r="I59" s="15">
        <v>4</v>
      </c>
      <c r="J59" s="15">
        <v>18</v>
      </c>
      <c r="K59" s="15">
        <v>19</v>
      </c>
      <c r="L59" s="15">
        <v>-4.22</v>
      </c>
      <c r="M59" s="15">
        <v>5.1100000000000003</v>
      </c>
      <c r="N59" s="36">
        <f t="shared" si="4"/>
        <v>0.82583170254403127</v>
      </c>
      <c r="O59" s="15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x14ac:dyDescent="0.15">
      <c r="A60" s="23">
        <v>9</v>
      </c>
      <c r="B60" s="17">
        <f>A60+1</f>
        <v>10</v>
      </c>
      <c r="C60" s="23">
        <f>B60+1</f>
        <v>11</v>
      </c>
      <c r="D60" s="23">
        <f>C60+1</f>
        <v>12</v>
      </c>
      <c r="E60" s="23">
        <v>1570.32</v>
      </c>
      <c r="F60" s="23">
        <v>7.57</v>
      </c>
      <c r="G60" s="23">
        <f t="shared" si="3"/>
        <v>207.43989431968294</v>
      </c>
      <c r="H60" s="15">
        <v>3</v>
      </c>
      <c r="I60" s="15">
        <v>4</v>
      </c>
      <c r="J60" s="15">
        <v>19</v>
      </c>
      <c r="K60" s="15">
        <v>20</v>
      </c>
      <c r="L60" s="15">
        <v>-6.05</v>
      </c>
      <c r="M60" s="15">
        <v>5.32</v>
      </c>
      <c r="N60" s="36">
        <f t="shared" si="4"/>
        <v>1.1372180451127818</v>
      </c>
      <c r="O60" s="15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x14ac:dyDescent="0.15">
      <c r="A61" s="23">
        <v>9</v>
      </c>
      <c r="B61" s="17">
        <f t="shared" ref="B61:B66" si="21">B60+1</f>
        <v>11</v>
      </c>
      <c r="C61" s="23">
        <f t="shared" ref="C61:C66" si="22">C60+2</f>
        <v>13</v>
      </c>
      <c r="D61" s="23">
        <f>D60+3</f>
        <v>15</v>
      </c>
      <c r="E61" s="23">
        <v>544.84</v>
      </c>
      <c r="F61" s="23">
        <v>4.87</v>
      </c>
      <c r="G61" s="23">
        <f t="shared" si="3"/>
        <v>111.87679671457906</v>
      </c>
      <c r="H61" s="15">
        <v>3</v>
      </c>
      <c r="I61" s="15">
        <v>4</v>
      </c>
      <c r="J61" s="15">
        <v>20</v>
      </c>
      <c r="K61" s="15">
        <v>21</v>
      </c>
      <c r="L61" s="15">
        <v>-7.34</v>
      </c>
      <c r="M61" s="15">
        <v>5.46</v>
      </c>
      <c r="N61" s="36">
        <f t="shared" si="4"/>
        <v>1.3443223443223442</v>
      </c>
      <c r="O61" s="1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x14ac:dyDescent="0.15">
      <c r="A62" s="23">
        <v>9</v>
      </c>
      <c r="B62" s="17">
        <f t="shared" si="21"/>
        <v>12</v>
      </c>
      <c r="C62" s="23">
        <f t="shared" si="22"/>
        <v>15</v>
      </c>
      <c r="D62" s="23">
        <f>D61+3</f>
        <v>18</v>
      </c>
      <c r="E62" s="23">
        <v>626.02</v>
      </c>
      <c r="F62" s="23">
        <v>8.2100000000000009</v>
      </c>
      <c r="G62" s="23">
        <f t="shared" si="3"/>
        <v>76.250913520097427</v>
      </c>
      <c r="H62" s="15">
        <v>3</v>
      </c>
      <c r="I62" s="15">
        <v>4</v>
      </c>
      <c r="J62" s="15">
        <v>21</v>
      </c>
      <c r="K62" s="15">
        <v>22</v>
      </c>
      <c r="L62" s="15">
        <v>-11.48</v>
      </c>
      <c r="M62" s="15">
        <v>5.18</v>
      </c>
      <c r="N62" s="36">
        <f t="shared" si="4"/>
        <v>2.2162162162162162</v>
      </c>
      <c r="O62" s="15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x14ac:dyDescent="0.15">
      <c r="A63" s="23">
        <v>9</v>
      </c>
      <c r="B63" s="17">
        <f t="shared" si="21"/>
        <v>13</v>
      </c>
      <c r="C63" s="23">
        <f t="shared" si="22"/>
        <v>17</v>
      </c>
      <c r="D63" s="23">
        <f>D62+3</f>
        <v>21</v>
      </c>
      <c r="E63" s="23">
        <v>337.74</v>
      </c>
      <c r="F63" s="23">
        <v>5.82</v>
      </c>
      <c r="G63" s="23">
        <f t="shared" si="3"/>
        <v>58.030927835051543</v>
      </c>
      <c r="H63" s="15">
        <v>3</v>
      </c>
      <c r="I63" s="15">
        <v>4</v>
      </c>
      <c r="J63" s="15">
        <v>22</v>
      </c>
      <c r="K63" s="15">
        <v>23</v>
      </c>
      <c r="L63" s="15">
        <v>-16.309999999999999</v>
      </c>
      <c r="M63" s="15">
        <v>5.04</v>
      </c>
      <c r="N63" s="36">
        <f t="shared" si="4"/>
        <v>3.2361111111111107</v>
      </c>
      <c r="O63" s="15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x14ac:dyDescent="0.15">
      <c r="A64" s="23">
        <v>9</v>
      </c>
      <c r="B64" s="17">
        <f t="shared" si="21"/>
        <v>14</v>
      </c>
      <c r="C64" s="23">
        <f t="shared" si="22"/>
        <v>19</v>
      </c>
      <c r="D64" s="23">
        <f>D63+3</f>
        <v>24</v>
      </c>
      <c r="E64" s="23">
        <v>266.24</v>
      </c>
      <c r="F64" s="23">
        <v>5.82</v>
      </c>
      <c r="G64" s="23">
        <f t="shared" si="3"/>
        <v>45.745704467353953</v>
      </c>
      <c r="H64" s="15">
        <v>3</v>
      </c>
      <c r="I64" s="15">
        <v>4</v>
      </c>
      <c r="J64" s="15">
        <v>23</v>
      </c>
      <c r="K64" s="15">
        <v>24</v>
      </c>
      <c r="L64" s="15">
        <v>-31.81</v>
      </c>
      <c r="M64" s="15">
        <v>5.09</v>
      </c>
      <c r="N64" s="36">
        <f t="shared" si="4"/>
        <v>6.2495088408644399</v>
      </c>
      <c r="O64" s="15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x14ac:dyDescent="0.15">
      <c r="A65" s="23">
        <v>9</v>
      </c>
      <c r="B65" s="17">
        <f t="shared" si="21"/>
        <v>15</v>
      </c>
      <c r="C65" s="23">
        <f t="shared" si="22"/>
        <v>21</v>
      </c>
      <c r="D65" s="23">
        <v>3</v>
      </c>
      <c r="E65" s="23">
        <v>227.51</v>
      </c>
      <c r="F65" s="23">
        <v>6.99</v>
      </c>
      <c r="G65" s="23">
        <f t="shared" si="3"/>
        <v>32.54792560801144</v>
      </c>
      <c r="H65" s="15">
        <v>3</v>
      </c>
      <c r="I65" s="15">
        <v>4</v>
      </c>
      <c r="J65" s="15">
        <v>24</v>
      </c>
      <c r="K65" s="15">
        <v>1</v>
      </c>
      <c r="L65" s="15">
        <v>-82.61</v>
      </c>
      <c r="M65" s="15">
        <v>5.15</v>
      </c>
      <c r="N65" s="36">
        <f t="shared" si="4"/>
        <v>16.040776699029124</v>
      </c>
      <c r="O65" s="15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x14ac:dyDescent="0.15">
      <c r="A66" s="23">
        <v>9</v>
      </c>
      <c r="B66" s="17">
        <f t="shared" si="21"/>
        <v>16</v>
      </c>
      <c r="C66" s="23">
        <f t="shared" si="22"/>
        <v>23</v>
      </c>
      <c r="D66" s="23">
        <f>D65+3</f>
        <v>6</v>
      </c>
      <c r="E66" s="23">
        <v>124.9</v>
      </c>
      <c r="F66" s="23">
        <v>7.08</v>
      </c>
      <c r="G66" s="23">
        <f t="shared" si="3"/>
        <v>17.641242937853107</v>
      </c>
      <c r="H66" s="15">
        <v>3</v>
      </c>
      <c r="I66" s="15">
        <v>4</v>
      </c>
      <c r="J66" s="15">
        <v>1</v>
      </c>
      <c r="K66" s="15">
        <v>2</v>
      </c>
      <c r="L66" s="15">
        <v>-345.16</v>
      </c>
      <c r="M66" s="15">
        <v>5.25</v>
      </c>
      <c r="N66" s="36">
        <f t="shared" si="4"/>
        <v>65.744761904761916</v>
      </c>
      <c r="O66" s="15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x14ac:dyDescent="0.15">
      <c r="A67" s="23">
        <v>10</v>
      </c>
      <c r="B67" s="17">
        <f>A67+1</f>
        <v>11</v>
      </c>
      <c r="C67" s="23">
        <f>B67+1</f>
        <v>12</v>
      </c>
      <c r="D67" s="23">
        <f>C67+1</f>
        <v>13</v>
      </c>
      <c r="E67" s="26">
        <v>1435.68</v>
      </c>
      <c r="F67" s="23">
        <v>6.5</v>
      </c>
      <c r="G67" s="23">
        <f t="shared" si="3"/>
        <v>220.87384615384616</v>
      </c>
      <c r="H67" s="15">
        <v>4</v>
      </c>
      <c r="I67" s="15">
        <v>5</v>
      </c>
      <c r="J67" s="15">
        <f>I67+1</f>
        <v>6</v>
      </c>
      <c r="K67" s="15">
        <f>J67+1</f>
        <v>7</v>
      </c>
      <c r="L67" s="15">
        <v>-230.88</v>
      </c>
      <c r="M67" s="15">
        <v>3.33</v>
      </c>
      <c r="N67" s="36">
        <f t="shared" si="4"/>
        <v>69.333333333333329</v>
      </c>
      <c r="O67" s="15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x14ac:dyDescent="0.15">
      <c r="A68" s="23">
        <v>10</v>
      </c>
      <c r="B68" s="17">
        <f t="shared" ref="B68:B73" si="23">B67+1</f>
        <v>12</v>
      </c>
      <c r="C68" s="23">
        <f t="shared" ref="C68:C73" si="24">C67+2</f>
        <v>14</v>
      </c>
      <c r="D68" s="23">
        <f>D67+3</f>
        <v>16</v>
      </c>
      <c r="E68" s="23">
        <v>843.85</v>
      </c>
      <c r="F68" s="23">
        <v>7.42</v>
      </c>
      <c r="G68" s="23">
        <f t="shared" si="3"/>
        <v>113.72641509433963</v>
      </c>
      <c r="H68" s="15">
        <v>4</v>
      </c>
      <c r="I68" s="15">
        <v>5</v>
      </c>
      <c r="J68" s="15">
        <f t="shared" ref="J68:J84" si="25">J67+1</f>
        <v>7</v>
      </c>
      <c r="K68" s="15">
        <f t="shared" ref="K68:K84" si="26">K67+1</f>
        <v>8</v>
      </c>
      <c r="L68" s="15">
        <v>-50.98</v>
      </c>
      <c r="M68" s="15">
        <v>3.06</v>
      </c>
      <c r="N68" s="36">
        <f t="shared" si="4"/>
        <v>16.660130718954246</v>
      </c>
      <c r="O68" s="15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x14ac:dyDescent="0.15">
      <c r="A69" s="23">
        <v>10</v>
      </c>
      <c r="B69" s="17">
        <f t="shared" si="23"/>
        <v>13</v>
      </c>
      <c r="C69" s="23">
        <f t="shared" si="24"/>
        <v>16</v>
      </c>
      <c r="D69" s="23">
        <f>D68+3</f>
        <v>19</v>
      </c>
      <c r="E69" s="23">
        <v>617.9</v>
      </c>
      <c r="F69" s="23">
        <v>7.68</v>
      </c>
      <c r="G69" s="23">
        <f t="shared" ref="G69:G132" si="27">E69/F69</f>
        <v>80.455729166666671</v>
      </c>
      <c r="H69" s="15">
        <v>4</v>
      </c>
      <c r="I69" s="15">
        <v>5</v>
      </c>
      <c r="J69" s="15">
        <f t="shared" si="25"/>
        <v>8</v>
      </c>
      <c r="K69" s="15">
        <f t="shared" si="26"/>
        <v>9</v>
      </c>
      <c r="L69" s="15">
        <v>-23.97</v>
      </c>
      <c r="M69" s="15">
        <v>3.25</v>
      </c>
      <c r="N69" s="36">
        <f t="shared" ref="N69:N132" si="28">-L69/M69</f>
        <v>7.3753846153846148</v>
      </c>
      <c r="O69" s="15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x14ac:dyDescent="0.15">
      <c r="A70" s="23">
        <v>10</v>
      </c>
      <c r="B70" s="17">
        <f t="shared" si="23"/>
        <v>14</v>
      </c>
      <c r="C70" s="23">
        <f t="shared" si="24"/>
        <v>18</v>
      </c>
      <c r="D70" s="23">
        <f>D69+3</f>
        <v>22</v>
      </c>
      <c r="E70" s="23">
        <v>478.4</v>
      </c>
      <c r="F70" s="23">
        <v>8.06</v>
      </c>
      <c r="G70" s="23">
        <f t="shared" si="27"/>
        <v>59.354838709677416</v>
      </c>
      <c r="H70" s="15">
        <v>4</v>
      </c>
      <c r="I70" s="15">
        <v>5</v>
      </c>
      <c r="J70" s="15">
        <f t="shared" si="25"/>
        <v>9</v>
      </c>
      <c r="K70" s="15">
        <f t="shared" si="26"/>
        <v>10</v>
      </c>
      <c r="L70" s="15">
        <v>-11.48</v>
      </c>
      <c r="M70" s="15">
        <v>3.18</v>
      </c>
      <c r="N70" s="36">
        <f t="shared" si="28"/>
        <v>3.6100628930817611</v>
      </c>
      <c r="O70" s="15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x14ac:dyDescent="0.15">
      <c r="A71" s="23">
        <v>10</v>
      </c>
      <c r="B71" s="17">
        <f t="shared" si="23"/>
        <v>15</v>
      </c>
      <c r="C71" s="23">
        <f t="shared" si="24"/>
        <v>20</v>
      </c>
      <c r="D71" s="23">
        <v>1</v>
      </c>
      <c r="E71" s="23">
        <v>330.25</v>
      </c>
      <c r="F71" s="23">
        <v>7.08</v>
      </c>
      <c r="G71" s="23">
        <f t="shared" si="27"/>
        <v>46.645480225988699</v>
      </c>
      <c r="H71" s="15">
        <v>4</v>
      </c>
      <c r="I71" s="15">
        <v>5</v>
      </c>
      <c r="J71" s="15">
        <f t="shared" si="25"/>
        <v>10</v>
      </c>
      <c r="K71" s="15">
        <f t="shared" si="26"/>
        <v>11</v>
      </c>
      <c r="L71" s="15">
        <v>-8.8000000000000007</v>
      </c>
      <c r="M71" s="15">
        <v>3.25</v>
      </c>
      <c r="N71" s="36">
        <f t="shared" si="28"/>
        <v>2.7076923076923078</v>
      </c>
      <c r="O71" s="15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x14ac:dyDescent="0.15">
      <c r="A72" s="23">
        <v>10</v>
      </c>
      <c r="B72" s="17">
        <f t="shared" si="23"/>
        <v>16</v>
      </c>
      <c r="C72" s="23">
        <f t="shared" si="24"/>
        <v>22</v>
      </c>
      <c r="D72" s="23">
        <f>D71+3</f>
        <v>4</v>
      </c>
      <c r="E72" s="23">
        <v>179.46</v>
      </c>
      <c r="F72" s="23">
        <v>5.49</v>
      </c>
      <c r="G72" s="23">
        <f t="shared" si="27"/>
        <v>32.688524590163937</v>
      </c>
      <c r="H72" s="15">
        <v>4</v>
      </c>
      <c r="I72" s="15">
        <v>5</v>
      </c>
      <c r="J72" s="15">
        <f t="shared" si="25"/>
        <v>11</v>
      </c>
      <c r="K72" s="15">
        <f t="shared" si="26"/>
        <v>12</v>
      </c>
      <c r="L72" s="15">
        <v>-5.39</v>
      </c>
      <c r="M72" s="15">
        <v>3.36</v>
      </c>
      <c r="N72" s="36">
        <f t="shared" si="28"/>
        <v>1.6041666666666667</v>
      </c>
      <c r="O72" s="15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x14ac:dyDescent="0.15">
      <c r="A73" s="23">
        <v>10</v>
      </c>
      <c r="B73" s="17">
        <f t="shared" si="23"/>
        <v>17</v>
      </c>
      <c r="C73" s="23">
        <f t="shared" si="24"/>
        <v>24</v>
      </c>
      <c r="D73" s="23">
        <f>D72+3</f>
        <v>7</v>
      </c>
      <c r="E73" s="23">
        <v>146.69999999999999</v>
      </c>
      <c r="F73" s="23">
        <v>8.39</v>
      </c>
      <c r="G73" s="23">
        <f t="shared" si="27"/>
        <v>17.485101311084623</v>
      </c>
      <c r="H73" s="15">
        <v>4</v>
      </c>
      <c r="I73" s="15">
        <v>5</v>
      </c>
      <c r="J73" s="15">
        <f t="shared" si="25"/>
        <v>12</v>
      </c>
      <c r="K73" s="15">
        <f t="shared" si="26"/>
        <v>13</v>
      </c>
      <c r="L73" s="15">
        <v>-10.75</v>
      </c>
      <c r="M73" s="15">
        <v>3.36</v>
      </c>
      <c r="N73" s="36">
        <f t="shared" si="28"/>
        <v>3.1994047619047619</v>
      </c>
      <c r="O73" s="15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x14ac:dyDescent="0.15">
      <c r="A74" s="23">
        <v>11</v>
      </c>
      <c r="B74" s="17">
        <f>A74+1</f>
        <v>12</v>
      </c>
      <c r="C74" s="23">
        <f>B74+1</f>
        <v>13</v>
      </c>
      <c r="D74" s="23">
        <f>C74+1</f>
        <v>14</v>
      </c>
      <c r="E74" s="23">
        <v>1034.97</v>
      </c>
      <c r="F74" s="23">
        <v>5</v>
      </c>
      <c r="G74" s="23">
        <f t="shared" si="27"/>
        <v>206.994</v>
      </c>
      <c r="H74" s="15">
        <v>4</v>
      </c>
      <c r="I74" s="15">
        <v>5</v>
      </c>
      <c r="J74" s="15">
        <f t="shared" si="25"/>
        <v>13</v>
      </c>
      <c r="K74" s="15">
        <f t="shared" si="26"/>
        <v>14</v>
      </c>
      <c r="L74" s="15">
        <v>-6.87</v>
      </c>
      <c r="M74" s="15">
        <v>3.5</v>
      </c>
      <c r="N74" s="36">
        <f t="shared" si="28"/>
        <v>1.9628571428571429</v>
      </c>
      <c r="O74" s="15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x14ac:dyDescent="0.15">
      <c r="A75" s="23">
        <v>11</v>
      </c>
      <c r="B75" s="17">
        <f t="shared" ref="B75:B80" si="29">B74+1</f>
        <v>13</v>
      </c>
      <c r="C75" s="23">
        <f>C74+2</f>
        <v>15</v>
      </c>
      <c r="D75" s="23">
        <f>D74+3</f>
        <v>17</v>
      </c>
      <c r="E75" s="23">
        <v>681.35</v>
      </c>
      <c r="F75" s="23">
        <v>6.04</v>
      </c>
      <c r="G75" s="23">
        <f t="shared" si="27"/>
        <v>112.80629139072848</v>
      </c>
      <c r="H75" s="15">
        <v>4</v>
      </c>
      <c r="I75" s="15">
        <v>5</v>
      </c>
      <c r="J75" s="15">
        <f t="shared" si="25"/>
        <v>14</v>
      </c>
      <c r="K75" s="15">
        <f t="shared" si="26"/>
        <v>15</v>
      </c>
      <c r="L75" s="15">
        <v>-5</v>
      </c>
      <c r="M75" s="15">
        <v>3.44</v>
      </c>
      <c r="N75" s="36">
        <f t="shared" si="28"/>
        <v>1.4534883720930232</v>
      </c>
      <c r="O75" s="15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x14ac:dyDescent="0.15">
      <c r="A76" s="23">
        <v>11</v>
      </c>
      <c r="B76" s="17">
        <f t="shared" si="29"/>
        <v>14</v>
      </c>
      <c r="C76" s="23">
        <f>C75+2</f>
        <v>17</v>
      </c>
      <c r="D76" s="23">
        <f>D75+3</f>
        <v>20</v>
      </c>
      <c r="E76" s="23">
        <v>410.04</v>
      </c>
      <c r="F76" s="23">
        <v>5.33</v>
      </c>
      <c r="G76" s="23">
        <f t="shared" si="27"/>
        <v>76.930581613508451</v>
      </c>
      <c r="H76" s="15">
        <v>4</v>
      </c>
      <c r="I76" s="15">
        <v>5</v>
      </c>
      <c r="J76" s="15">
        <f t="shared" si="25"/>
        <v>15</v>
      </c>
      <c r="K76" s="15">
        <f t="shared" si="26"/>
        <v>16</v>
      </c>
      <c r="L76" s="15">
        <v>-2.79</v>
      </c>
      <c r="M76" s="15">
        <v>3.67</v>
      </c>
      <c r="N76" s="36">
        <f t="shared" si="28"/>
        <v>0.76021798365122617</v>
      </c>
      <c r="O76" s="15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x14ac:dyDescent="0.15">
      <c r="A77" s="23">
        <v>11</v>
      </c>
      <c r="B77" s="17">
        <f t="shared" si="29"/>
        <v>15</v>
      </c>
      <c r="C77" s="23">
        <f>C76+2</f>
        <v>19</v>
      </c>
      <c r="D77" s="23">
        <f>D76+3</f>
        <v>23</v>
      </c>
      <c r="E77" s="23">
        <v>319.38</v>
      </c>
      <c r="F77" s="23">
        <v>5.24</v>
      </c>
      <c r="G77" s="23">
        <f t="shared" si="27"/>
        <v>60.950381679389309</v>
      </c>
      <c r="H77" s="15">
        <v>4</v>
      </c>
      <c r="I77" s="15">
        <v>5</v>
      </c>
      <c r="J77" s="15">
        <f t="shared" si="25"/>
        <v>16</v>
      </c>
      <c r="K77" s="15">
        <f t="shared" si="26"/>
        <v>17</v>
      </c>
      <c r="L77" s="15">
        <v>-2.58</v>
      </c>
      <c r="M77" s="15">
        <v>3.37</v>
      </c>
      <c r="N77" s="36">
        <f t="shared" si="28"/>
        <v>0.76557863501483681</v>
      </c>
      <c r="O77" s="15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x14ac:dyDescent="0.15">
      <c r="A78" s="23">
        <v>11</v>
      </c>
      <c r="B78" s="17">
        <f t="shared" si="29"/>
        <v>16</v>
      </c>
      <c r="C78" s="23">
        <f>C77+2</f>
        <v>21</v>
      </c>
      <c r="D78" s="23">
        <v>2</v>
      </c>
      <c r="E78" s="23">
        <v>274.33999999999997</v>
      </c>
      <c r="F78" s="23">
        <v>6</v>
      </c>
      <c r="G78" s="23">
        <f t="shared" si="27"/>
        <v>45.723333333333329</v>
      </c>
      <c r="H78" s="15">
        <v>4</v>
      </c>
      <c r="I78" s="15">
        <v>5</v>
      </c>
      <c r="J78" s="15">
        <f t="shared" si="25"/>
        <v>17</v>
      </c>
      <c r="K78" s="15">
        <f t="shared" si="26"/>
        <v>18</v>
      </c>
      <c r="L78" s="15">
        <v>-2.58</v>
      </c>
      <c r="M78" s="15">
        <v>3.27</v>
      </c>
      <c r="N78" s="36">
        <f t="shared" si="28"/>
        <v>0.78899082568807344</v>
      </c>
      <c r="O78" s="15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x14ac:dyDescent="0.15">
      <c r="A79" s="23">
        <v>11</v>
      </c>
      <c r="B79" s="17">
        <f t="shared" si="29"/>
        <v>17</v>
      </c>
      <c r="C79" s="23">
        <f>C78+2</f>
        <v>23</v>
      </c>
      <c r="D79" s="23">
        <f>D78+3</f>
        <v>5</v>
      </c>
      <c r="E79" s="23">
        <v>129.16999999999999</v>
      </c>
      <c r="F79" s="23">
        <v>4.07</v>
      </c>
      <c r="G79" s="23">
        <f t="shared" si="27"/>
        <v>31.737100737100732</v>
      </c>
      <c r="H79" s="15">
        <v>4</v>
      </c>
      <c r="I79" s="15">
        <v>5</v>
      </c>
      <c r="J79" s="15">
        <f t="shared" si="25"/>
        <v>18</v>
      </c>
      <c r="K79" s="15">
        <f t="shared" si="26"/>
        <v>19</v>
      </c>
      <c r="L79" s="15">
        <v>-2.38</v>
      </c>
      <c r="M79" s="15">
        <v>3.4</v>
      </c>
      <c r="N79" s="36">
        <f t="shared" si="28"/>
        <v>0.7</v>
      </c>
      <c r="O79" s="15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x14ac:dyDescent="0.15">
      <c r="A80" s="23">
        <v>11</v>
      </c>
      <c r="B80" s="17">
        <f t="shared" si="29"/>
        <v>18</v>
      </c>
      <c r="C80" s="23">
        <v>1</v>
      </c>
      <c r="D80" s="23">
        <f>D79+3</f>
        <v>8</v>
      </c>
      <c r="E80" s="23">
        <v>94.47</v>
      </c>
      <c r="F80" s="23">
        <v>5.52</v>
      </c>
      <c r="G80" s="23">
        <f t="shared" si="27"/>
        <v>17.114130434782609</v>
      </c>
      <c r="H80" s="15">
        <v>4</v>
      </c>
      <c r="I80" s="15">
        <v>5</v>
      </c>
      <c r="J80" s="15">
        <f t="shared" si="25"/>
        <v>19</v>
      </c>
      <c r="K80" s="15">
        <f t="shared" si="26"/>
        <v>20</v>
      </c>
      <c r="L80" s="15">
        <v>-3.85</v>
      </c>
      <c r="M80" s="15">
        <v>3.06</v>
      </c>
      <c r="N80" s="36">
        <f t="shared" si="28"/>
        <v>1.2581699346405228</v>
      </c>
      <c r="O80" s="15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x14ac:dyDescent="0.15">
      <c r="A81" s="23">
        <v>12</v>
      </c>
      <c r="B81" s="17">
        <f>A81+1</f>
        <v>13</v>
      </c>
      <c r="C81" s="23">
        <f>B81+1</f>
        <v>14</v>
      </c>
      <c r="D81" s="23">
        <f>C81+1</f>
        <v>15</v>
      </c>
      <c r="E81" s="23">
        <v>1267.33</v>
      </c>
      <c r="F81" s="23">
        <v>5.37</v>
      </c>
      <c r="G81" s="37">
        <f t="shared" si="27"/>
        <v>236.00186219739291</v>
      </c>
      <c r="H81" s="15">
        <v>4</v>
      </c>
      <c r="I81" s="15">
        <v>5</v>
      </c>
      <c r="J81" s="15">
        <f t="shared" si="25"/>
        <v>20</v>
      </c>
      <c r="K81" s="15">
        <f t="shared" si="26"/>
        <v>21</v>
      </c>
      <c r="L81" s="15">
        <v>-1.96</v>
      </c>
      <c r="M81" s="15">
        <v>3.07</v>
      </c>
      <c r="N81" s="36">
        <f t="shared" si="28"/>
        <v>0.63843648208469062</v>
      </c>
      <c r="O81" s="15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x14ac:dyDescent="0.15">
      <c r="A82" s="23">
        <v>12</v>
      </c>
      <c r="B82" s="17">
        <f t="shared" ref="B82:B87" si="30">B81+1</f>
        <v>14</v>
      </c>
      <c r="C82" s="23">
        <f>C81+2</f>
        <v>16</v>
      </c>
      <c r="D82" s="23">
        <f>D81+3</f>
        <v>18</v>
      </c>
      <c r="E82" s="23">
        <v>1075.3800000000001</v>
      </c>
      <c r="F82" s="23">
        <v>9.34</v>
      </c>
      <c r="G82" s="23">
        <f t="shared" si="27"/>
        <v>115.1370449678801</v>
      </c>
      <c r="H82" s="15">
        <v>4</v>
      </c>
      <c r="I82" s="15">
        <v>5</v>
      </c>
      <c r="J82" s="15">
        <f t="shared" si="25"/>
        <v>21</v>
      </c>
      <c r="K82" s="15">
        <f t="shared" si="26"/>
        <v>22</v>
      </c>
      <c r="L82" s="15">
        <v>-5.04</v>
      </c>
      <c r="M82" s="15">
        <v>3.16</v>
      </c>
      <c r="N82" s="36">
        <f t="shared" si="28"/>
        <v>1.5949367088607593</v>
      </c>
      <c r="O82" s="15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x14ac:dyDescent="0.15">
      <c r="A83" s="23">
        <v>12</v>
      </c>
      <c r="B83" s="17">
        <f t="shared" si="30"/>
        <v>15</v>
      </c>
      <c r="C83" s="23">
        <f>C82+2</f>
        <v>18</v>
      </c>
      <c r="D83" s="23">
        <f>D82+3</f>
        <v>21</v>
      </c>
      <c r="E83" s="23">
        <v>492.24</v>
      </c>
      <c r="F83" s="23">
        <v>6.28</v>
      </c>
      <c r="G83" s="23">
        <f t="shared" si="27"/>
        <v>78.382165605095537</v>
      </c>
      <c r="H83" s="15">
        <v>4</v>
      </c>
      <c r="I83" s="15">
        <v>5</v>
      </c>
      <c r="J83" s="15">
        <f t="shared" si="25"/>
        <v>22</v>
      </c>
      <c r="K83" s="15">
        <f t="shared" si="26"/>
        <v>23</v>
      </c>
      <c r="L83" s="15">
        <v>-9.14</v>
      </c>
      <c r="M83" s="15">
        <v>3.16</v>
      </c>
      <c r="N83" s="36">
        <f t="shared" si="28"/>
        <v>2.8924050632911391</v>
      </c>
      <c r="O83" s="15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x14ac:dyDescent="0.15">
      <c r="A84" s="23">
        <v>12</v>
      </c>
      <c r="B84" s="17">
        <f t="shared" si="30"/>
        <v>16</v>
      </c>
      <c r="C84" s="23">
        <f>C83+2</f>
        <v>20</v>
      </c>
      <c r="D84" s="23">
        <f>D83+3</f>
        <v>24</v>
      </c>
      <c r="E84" s="23">
        <v>378.92</v>
      </c>
      <c r="F84" s="23">
        <v>6.27</v>
      </c>
      <c r="G84" s="23">
        <f t="shared" si="27"/>
        <v>60.43381180223286</v>
      </c>
      <c r="H84" s="15">
        <v>4</v>
      </c>
      <c r="I84" s="15">
        <v>5</v>
      </c>
      <c r="J84" s="15">
        <f t="shared" si="25"/>
        <v>23</v>
      </c>
      <c r="K84" s="15">
        <f t="shared" si="26"/>
        <v>24</v>
      </c>
      <c r="L84" s="15">
        <v>-12.27</v>
      </c>
      <c r="M84" s="15">
        <v>3.28</v>
      </c>
      <c r="N84" s="36">
        <f t="shared" si="28"/>
        <v>3.7408536585365852</v>
      </c>
      <c r="O84" s="15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x14ac:dyDescent="0.15">
      <c r="A85" s="23">
        <v>12</v>
      </c>
      <c r="B85" s="17">
        <f t="shared" si="30"/>
        <v>17</v>
      </c>
      <c r="C85" s="23">
        <f>C84+2</f>
        <v>22</v>
      </c>
      <c r="D85" s="23">
        <v>3</v>
      </c>
      <c r="E85" s="23">
        <v>342.92</v>
      </c>
      <c r="F85" s="23">
        <v>7.45</v>
      </c>
      <c r="G85" s="23">
        <f t="shared" si="27"/>
        <v>46.029530201342283</v>
      </c>
      <c r="H85" s="15">
        <v>4</v>
      </c>
      <c r="I85" s="15">
        <v>5</v>
      </c>
      <c r="J85" s="15">
        <f>J84+1</f>
        <v>24</v>
      </c>
      <c r="K85" s="15">
        <v>1</v>
      </c>
      <c r="L85" s="15">
        <v>-23.56</v>
      </c>
      <c r="M85" s="15">
        <v>3.28</v>
      </c>
      <c r="N85" s="36">
        <f t="shared" si="28"/>
        <v>7.1829268292682924</v>
      </c>
      <c r="O85" s="1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x14ac:dyDescent="0.15">
      <c r="A86" s="23">
        <v>12</v>
      </c>
      <c r="B86" s="17">
        <f t="shared" si="30"/>
        <v>18</v>
      </c>
      <c r="C86" s="23">
        <f>C85+2</f>
        <v>24</v>
      </c>
      <c r="D86" s="23">
        <f>D85+3</f>
        <v>6</v>
      </c>
      <c r="E86" s="23">
        <v>250.81</v>
      </c>
      <c r="F86" s="23">
        <v>8</v>
      </c>
      <c r="G86" s="23">
        <f t="shared" si="27"/>
        <v>31.35125</v>
      </c>
      <c r="H86" s="15">
        <v>4</v>
      </c>
      <c r="I86" s="15">
        <v>5</v>
      </c>
      <c r="J86" s="15">
        <v>1</v>
      </c>
      <c r="K86" s="15">
        <f>K85+1</f>
        <v>2</v>
      </c>
      <c r="L86" s="15">
        <v>-72.33</v>
      </c>
      <c r="M86" s="15">
        <v>3.6</v>
      </c>
      <c r="N86" s="36">
        <f t="shared" si="28"/>
        <v>20.091666666666665</v>
      </c>
      <c r="O86" s="15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x14ac:dyDescent="0.15">
      <c r="A87" s="23">
        <v>12</v>
      </c>
      <c r="B87" s="17">
        <f t="shared" si="30"/>
        <v>19</v>
      </c>
      <c r="C87" s="23">
        <v>2</v>
      </c>
      <c r="D87" s="23">
        <f>D86+3</f>
        <v>9</v>
      </c>
      <c r="E87" s="23">
        <v>126.83</v>
      </c>
      <c r="F87" s="23">
        <v>7.45</v>
      </c>
      <c r="G87" s="23">
        <f t="shared" si="27"/>
        <v>17.024161073825503</v>
      </c>
      <c r="H87" s="15">
        <v>4</v>
      </c>
      <c r="I87" s="15">
        <v>5</v>
      </c>
      <c r="J87" s="15">
        <f>J86+1</f>
        <v>2</v>
      </c>
      <c r="K87" s="15">
        <f>K86+1</f>
        <v>3</v>
      </c>
      <c r="L87" s="15">
        <v>-251.15</v>
      </c>
      <c r="M87" s="15">
        <v>3.64</v>
      </c>
      <c r="N87" s="36">
        <f t="shared" si="28"/>
        <v>68.997252747252745</v>
      </c>
      <c r="O87" s="15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x14ac:dyDescent="0.15">
      <c r="A88" s="23">
        <v>13</v>
      </c>
      <c r="B88" s="17">
        <f>A88+1</f>
        <v>14</v>
      </c>
      <c r="C88" s="23">
        <f>B88+1</f>
        <v>15</v>
      </c>
      <c r="D88" s="23">
        <f>C88+1</f>
        <v>16</v>
      </c>
      <c r="E88" s="23">
        <v>1146.9100000000001</v>
      </c>
      <c r="F88" s="23">
        <v>5.75</v>
      </c>
      <c r="G88" s="37">
        <f t="shared" si="27"/>
        <v>199.46260869565219</v>
      </c>
      <c r="H88" s="15">
        <v>5</v>
      </c>
      <c r="I88" s="15">
        <v>6</v>
      </c>
      <c r="J88" s="15">
        <f>I88+1</f>
        <v>7</v>
      </c>
      <c r="K88" s="15">
        <f>J88+1</f>
        <v>8</v>
      </c>
      <c r="L88" s="15">
        <v>-327.91</v>
      </c>
      <c r="M88" s="15">
        <v>4.79</v>
      </c>
      <c r="N88" s="36">
        <f t="shared" si="28"/>
        <v>68.457202505219215</v>
      </c>
      <c r="O88" s="15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x14ac:dyDescent="0.15">
      <c r="A89" s="23">
        <v>13</v>
      </c>
      <c r="B89" s="17">
        <f t="shared" ref="B89:B94" si="31">B88+1</f>
        <v>15</v>
      </c>
      <c r="C89" s="23">
        <f>C88+2</f>
        <v>17</v>
      </c>
      <c r="D89" s="23">
        <f>D88+3</f>
        <v>19</v>
      </c>
      <c r="E89" s="23">
        <v>698.65</v>
      </c>
      <c r="F89" s="23">
        <v>6.06</v>
      </c>
      <c r="G89" s="23">
        <f t="shared" si="27"/>
        <v>115.28877887788779</v>
      </c>
      <c r="H89" s="15">
        <v>5</v>
      </c>
      <c r="I89" s="15">
        <v>6</v>
      </c>
      <c r="J89" s="15">
        <f t="shared" ref="J89:J104" si="32">J88+1</f>
        <v>8</v>
      </c>
      <c r="K89" s="15">
        <f t="shared" ref="K89:K104" si="33">K88+1</f>
        <v>9</v>
      </c>
      <c r="L89" s="15">
        <v>-87.3</v>
      </c>
      <c r="M89" s="15">
        <v>5.04</v>
      </c>
      <c r="N89" s="36">
        <f t="shared" si="28"/>
        <v>17.321428571428569</v>
      </c>
      <c r="O89" s="15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x14ac:dyDescent="0.15">
      <c r="A90" s="23">
        <v>13</v>
      </c>
      <c r="B90" s="17">
        <f t="shared" si="31"/>
        <v>16</v>
      </c>
      <c r="C90" s="23">
        <f>C89+2</f>
        <v>19</v>
      </c>
      <c r="D90" s="23">
        <f>D89+3</f>
        <v>22</v>
      </c>
      <c r="E90" s="23">
        <v>627.72</v>
      </c>
      <c r="F90" s="23">
        <v>7.74</v>
      </c>
      <c r="G90" s="23">
        <f t="shared" si="27"/>
        <v>81.100775193798455</v>
      </c>
      <c r="H90" s="15">
        <v>5</v>
      </c>
      <c r="I90" s="15">
        <v>6</v>
      </c>
      <c r="J90" s="15">
        <f t="shared" si="32"/>
        <v>9</v>
      </c>
      <c r="K90" s="15">
        <f t="shared" si="33"/>
        <v>10</v>
      </c>
      <c r="L90" s="15">
        <v>-34.1</v>
      </c>
      <c r="M90" s="15">
        <v>4.3899999999999997</v>
      </c>
      <c r="N90" s="36">
        <f t="shared" si="28"/>
        <v>7.7676537585421421</v>
      </c>
      <c r="O90" s="15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x14ac:dyDescent="0.15">
      <c r="A91" s="23">
        <v>13</v>
      </c>
      <c r="B91" s="17">
        <f t="shared" si="31"/>
        <v>17</v>
      </c>
      <c r="C91" s="23">
        <f>C90+2</f>
        <v>21</v>
      </c>
      <c r="D91" s="23">
        <v>1</v>
      </c>
      <c r="E91" s="23">
        <v>430.06</v>
      </c>
      <c r="F91" s="23">
        <v>7.04</v>
      </c>
      <c r="G91" s="23">
        <f t="shared" si="27"/>
        <v>61.08806818181818</v>
      </c>
      <c r="H91" s="15">
        <v>5</v>
      </c>
      <c r="I91" s="15">
        <v>6</v>
      </c>
      <c r="J91" s="15">
        <f t="shared" si="32"/>
        <v>10</v>
      </c>
      <c r="K91" s="15">
        <f t="shared" si="33"/>
        <v>11</v>
      </c>
      <c r="L91" s="15">
        <v>-17.04</v>
      </c>
      <c r="M91" s="15">
        <v>4.45</v>
      </c>
      <c r="N91" s="36">
        <f t="shared" si="28"/>
        <v>3.8292134831460669</v>
      </c>
      <c r="O91" s="15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x14ac:dyDescent="0.15">
      <c r="A92" s="23">
        <v>13</v>
      </c>
      <c r="B92" s="17">
        <f t="shared" si="31"/>
        <v>18</v>
      </c>
      <c r="C92" s="23">
        <f>C91+2</f>
        <v>23</v>
      </c>
      <c r="D92" s="23">
        <f>D91+3</f>
        <v>4</v>
      </c>
      <c r="E92" s="23">
        <v>235.87</v>
      </c>
      <c r="F92" s="23">
        <v>5.25</v>
      </c>
      <c r="G92" s="23">
        <f t="shared" si="27"/>
        <v>44.927619047619046</v>
      </c>
      <c r="H92" s="15">
        <v>5</v>
      </c>
      <c r="I92" s="15">
        <v>6</v>
      </c>
      <c r="J92" s="15">
        <f t="shared" si="32"/>
        <v>11</v>
      </c>
      <c r="K92" s="15">
        <f t="shared" si="33"/>
        <v>12</v>
      </c>
      <c r="L92" s="15">
        <v>-23.68</v>
      </c>
      <c r="M92" s="15">
        <v>4.96</v>
      </c>
      <c r="N92" s="36">
        <f t="shared" si="28"/>
        <v>4.774193548387097</v>
      </c>
      <c r="O92" s="15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x14ac:dyDescent="0.15">
      <c r="A93" s="23">
        <v>13</v>
      </c>
      <c r="B93" s="17">
        <f t="shared" si="31"/>
        <v>19</v>
      </c>
      <c r="C93" s="23">
        <v>1</v>
      </c>
      <c r="D93" s="23">
        <f>D92+3</f>
        <v>7</v>
      </c>
      <c r="E93" s="23">
        <v>225.53</v>
      </c>
      <c r="F93" s="23">
        <v>7.58</v>
      </c>
      <c r="G93" s="23">
        <f t="shared" si="27"/>
        <v>29.753298153034301</v>
      </c>
      <c r="H93" s="15">
        <v>5</v>
      </c>
      <c r="I93" s="15">
        <v>6</v>
      </c>
      <c r="J93" s="15">
        <f t="shared" si="32"/>
        <v>12</v>
      </c>
      <c r="K93" s="15">
        <f t="shared" si="33"/>
        <v>13</v>
      </c>
      <c r="L93" s="15">
        <v>-13.59</v>
      </c>
      <c r="M93" s="15">
        <v>4.83</v>
      </c>
      <c r="N93" s="36">
        <f t="shared" si="28"/>
        <v>2.8136645962732918</v>
      </c>
      <c r="O93" s="15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x14ac:dyDescent="0.15">
      <c r="A94" s="23">
        <v>13</v>
      </c>
      <c r="B94" s="17">
        <f t="shared" si="31"/>
        <v>20</v>
      </c>
      <c r="C94" s="23">
        <f>C93+2</f>
        <v>3</v>
      </c>
      <c r="D94" s="23">
        <f>D93+3</f>
        <v>10</v>
      </c>
      <c r="E94" s="23">
        <v>109.15</v>
      </c>
      <c r="F94" s="23">
        <v>6.61</v>
      </c>
      <c r="G94" s="23">
        <f t="shared" si="27"/>
        <v>16.512859304084721</v>
      </c>
      <c r="H94" s="15">
        <v>5</v>
      </c>
      <c r="I94" s="15">
        <v>6</v>
      </c>
      <c r="J94" s="15">
        <f t="shared" si="32"/>
        <v>13</v>
      </c>
      <c r="K94" s="15">
        <f t="shared" si="33"/>
        <v>14</v>
      </c>
      <c r="L94" s="15">
        <v>-10.89</v>
      </c>
      <c r="M94" s="15">
        <v>4.57</v>
      </c>
      <c r="N94" s="36">
        <f t="shared" si="28"/>
        <v>2.3829321663019694</v>
      </c>
      <c r="O94" s="15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x14ac:dyDescent="0.15">
      <c r="A95" s="23">
        <v>14</v>
      </c>
      <c r="B95" s="17">
        <f>A95+1</f>
        <v>15</v>
      </c>
      <c r="C95" s="23">
        <f>B95+1</f>
        <v>16</v>
      </c>
      <c r="D95" s="23">
        <f>C95+1</f>
        <v>17</v>
      </c>
      <c r="E95" s="23">
        <v>1224.9000000000001</v>
      </c>
      <c r="F95" s="29">
        <v>5.08</v>
      </c>
      <c r="G95" s="37">
        <f t="shared" si="27"/>
        <v>241.12204724409449</v>
      </c>
      <c r="H95" s="15">
        <v>5</v>
      </c>
      <c r="I95" s="15">
        <v>6</v>
      </c>
      <c r="J95" s="15">
        <f t="shared" si="32"/>
        <v>14</v>
      </c>
      <c r="K95" s="15">
        <f t="shared" si="33"/>
        <v>15</v>
      </c>
      <c r="L95" s="15">
        <v>-5.44</v>
      </c>
      <c r="M95" s="15">
        <v>5.0199999999999996</v>
      </c>
      <c r="N95" s="36">
        <f t="shared" si="28"/>
        <v>1.0836653386454185</v>
      </c>
      <c r="O95" s="15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x14ac:dyDescent="0.15">
      <c r="A96" s="23">
        <v>14</v>
      </c>
      <c r="B96" s="17">
        <f t="shared" ref="B96:B101" si="34">B95+1</f>
        <v>16</v>
      </c>
      <c r="C96" s="23">
        <f>C95+2</f>
        <v>18</v>
      </c>
      <c r="D96" s="23">
        <f>D95+3</f>
        <v>20</v>
      </c>
      <c r="E96" s="23">
        <v>553.46</v>
      </c>
      <c r="F96" s="23">
        <v>4.93</v>
      </c>
      <c r="G96" s="23">
        <f t="shared" si="27"/>
        <v>112.26369168356999</v>
      </c>
      <c r="H96" s="15">
        <v>5</v>
      </c>
      <c r="I96" s="15">
        <v>6</v>
      </c>
      <c r="J96" s="15">
        <f t="shared" si="32"/>
        <v>15</v>
      </c>
      <c r="K96" s="15">
        <f t="shared" si="33"/>
        <v>16</v>
      </c>
      <c r="L96" s="15">
        <v>-2.5099999999999998</v>
      </c>
      <c r="M96" s="15">
        <v>4.3099999999999996</v>
      </c>
      <c r="N96" s="36">
        <f t="shared" si="28"/>
        <v>0.58236658932714613</v>
      </c>
      <c r="O96" s="15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x14ac:dyDescent="0.15">
      <c r="A97" s="23">
        <v>14</v>
      </c>
      <c r="B97" s="17">
        <f t="shared" si="34"/>
        <v>17</v>
      </c>
      <c r="C97" s="23">
        <f>C96+2</f>
        <v>20</v>
      </c>
      <c r="D97" s="23">
        <f>D96+3</f>
        <v>23</v>
      </c>
      <c r="E97" s="23">
        <v>415.02</v>
      </c>
      <c r="F97" s="23">
        <v>5.0999999999999996</v>
      </c>
      <c r="G97" s="23">
        <f t="shared" si="27"/>
        <v>81.376470588235293</v>
      </c>
      <c r="H97" s="15">
        <v>5</v>
      </c>
      <c r="I97" s="15">
        <v>6</v>
      </c>
      <c r="J97" s="15">
        <f t="shared" si="32"/>
        <v>16</v>
      </c>
      <c r="K97" s="15">
        <f t="shared" si="33"/>
        <v>17</v>
      </c>
      <c r="L97" s="15">
        <v>-5.97</v>
      </c>
      <c r="M97" s="15">
        <v>4.6900000000000004</v>
      </c>
      <c r="N97" s="36">
        <f t="shared" si="28"/>
        <v>1.272921108742004</v>
      </c>
      <c r="O97" s="15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x14ac:dyDescent="0.15">
      <c r="A98" s="23">
        <v>14</v>
      </c>
      <c r="B98" s="17">
        <f t="shared" si="34"/>
        <v>18</v>
      </c>
      <c r="C98" s="23">
        <f>C97+2</f>
        <v>22</v>
      </c>
      <c r="D98" s="23">
        <v>2</v>
      </c>
      <c r="E98" s="23">
        <v>311.23</v>
      </c>
      <c r="F98" s="23">
        <v>5.22</v>
      </c>
      <c r="G98" s="23">
        <f t="shared" si="27"/>
        <v>59.622605363984682</v>
      </c>
      <c r="H98" s="15">
        <v>5</v>
      </c>
      <c r="I98" s="15">
        <v>6</v>
      </c>
      <c r="J98" s="15">
        <f t="shared" si="32"/>
        <v>17</v>
      </c>
      <c r="K98" s="15">
        <f t="shared" si="33"/>
        <v>18</v>
      </c>
      <c r="L98" s="15">
        <v>-5.32</v>
      </c>
      <c r="M98" s="15">
        <v>4.09</v>
      </c>
      <c r="N98" s="36">
        <f t="shared" si="28"/>
        <v>1.3007334963325186</v>
      </c>
      <c r="O98" s="15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x14ac:dyDescent="0.15">
      <c r="A99" s="23">
        <v>14</v>
      </c>
      <c r="B99" s="17">
        <f t="shared" si="34"/>
        <v>19</v>
      </c>
      <c r="C99" s="23">
        <f>C98+2</f>
        <v>24</v>
      </c>
      <c r="D99" s="23">
        <f>D98+3</f>
        <v>5</v>
      </c>
      <c r="E99" s="23">
        <v>169.18</v>
      </c>
      <c r="F99" s="23">
        <v>3.91</v>
      </c>
      <c r="G99" s="23">
        <f t="shared" si="27"/>
        <v>43.268542199488493</v>
      </c>
      <c r="H99" s="15">
        <v>5</v>
      </c>
      <c r="I99" s="15">
        <v>6</v>
      </c>
      <c r="J99" s="15">
        <f t="shared" si="32"/>
        <v>18</v>
      </c>
      <c r="K99" s="15">
        <f t="shared" si="33"/>
        <v>19</v>
      </c>
      <c r="L99" s="15">
        <v>-4.28</v>
      </c>
      <c r="M99" s="15">
        <v>3.9</v>
      </c>
      <c r="N99" s="36">
        <f t="shared" si="28"/>
        <v>1.0974358974358975</v>
      </c>
      <c r="O99" s="15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x14ac:dyDescent="0.15">
      <c r="A100" s="23">
        <v>14</v>
      </c>
      <c r="B100" s="17">
        <f t="shared" si="34"/>
        <v>20</v>
      </c>
      <c r="C100" s="23">
        <v>2</v>
      </c>
      <c r="D100" s="23">
        <f>D99+3</f>
        <v>8</v>
      </c>
      <c r="E100" s="23">
        <v>143.25</v>
      </c>
      <c r="F100" s="23">
        <v>4.67</v>
      </c>
      <c r="G100" s="23">
        <f t="shared" si="27"/>
        <v>30.674518201284798</v>
      </c>
      <c r="H100" s="15">
        <v>5</v>
      </c>
      <c r="I100" s="15">
        <v>6</v>
      </c>
      <c r="J100" s="15">
        <f t="shared" si="32"/>
        <v>19</v>
      </c>
      <c r="K100" s="15">
        <f t="shared" si="33"/>
        <v>20</v>
      </c>
      <c r="L100" s="15">
        <v>-4.29</v>
      </c>
      <c r="M100" s="15">
        <v>3.94</v>
      </c>
      <c r="N100" s="36">
        <f t="shared" si="28"/>
        <v>1.0888324873096447</v>
      </c>
      <c r="O100" s="15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x14ac:dyDescent="0.15">
      <c r="A101" s="23">
        <v>14</v>
      </c>
      <c r="B101" s="17">
        <f t="shared" si="34"/>
        <v>21</v>
      </c>
      <c r="C101" s="23">
        <f>C100+2</f>
        <v>4</v>
      </c>
      <c r="D101" s="23">
        <f>D100+3</f>
        <v>11</v>
      </c>
      <c r="E101" s="23">
        <v>79.81</v>
      </c>
      <c r="F101" s="23">
        <v>4.83</v>
      </c>
      <c r="G101" s="23">
        <f t="shared" si="27"/>
        <v>16.523809523809526</v>
      </c>
      <c r="H101" s="15">
        <v>5</v>
      </c>
      <c r="I101" s="15">
        <v>6</v>
      </c>
      <c r="J101" s="15">
        <f t="shared" si="32"/>
        <v>20</v>
      </c>
      <c r="K101" s="15">
        <f t="shared" si="33"/>
        <v>21</v>
      </c>
      <c r="L101" s="15">
        <v>-7.18</v>
      </c>
      <c r="M101" s="15">
        <v>3.96</v>
      </c>
      <c r="N101" s="36">
        <f t="shared" si="28"/>
        <v>1.8131313131313131</v>
      </c>
      <c r="O101" s="15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x14ac:dyDescent="0.15">
      <c r="A102" s="23">
        <v>15</v>
      </c>
      <c r="B102" s="17">
        <f>A102+1</f>
        <v>16</v>
      </c>
      <c r="C102" s="23">
        <f>B102+1</f>
        <v>17</v>
      </c>
      <c r="D102" s="23">
        <f>C102+1</f>
        <v>18</v>
      </c>
      <c r="E102" s="23">
        <v>1000.01</v>
      </c>
      <c r="F102" s="23">
        <v>4.82</v>
      </c>
      <c r="G102" s="23">
        <f t="shared" si="27"/>
        <v>207.47095435684645</v>
      </c>
      <c r="H102" s="15">
        <v>5</v>
      </c>
      <c r="I102" s="15">
        <v>6</v>
      </c>
      <c r="J102" s="15">
        <f t="shared" si="32"/>
        <v>21</v>
      </c>
      <c r="K102" s="15">
        <f t="shared" si="33"/>
        <v>22</v>
      </c>
      <c r="L102" s="15">
        <v>-5.25</v>
      </c>
      <c r="M102" s="15">
        <v>4.2300000000000004</v>
      </c>
      <c r="N102" s="36">
        <f t="shared" si="28"/>
        <v>1.2411347517730495</v>
      </c>
      <c r="O102" s="15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x14ac:dyDescent="0.15">
      <c r="A103" s="23">
        <v>15</v>
      </c>
      <c r="B103" s="17">
        <f t="shared" ref="B103:B108" si="35">B102+1</f>
        <v>17</v>
      </c>
      <c r="C103" s="23">
        <f>C102+2</f>
        <v>19</v>
      </c>
      <c r="D103" s="23">
        <f>D102+3</f>
        <v>21</v>
      </c>
      <c r="E103" s="23">
        <v>469.77</v>
      </c>
      <c r="F103" s="23">
        <v>4.17</v>
      </c>
      <c r="G103" s="23">
        <f t="shared" si="27"/>
        <v>112.65467625899281</v>
      </c>
      <c r="H103" s="15">
        <v>5</v>
      </c>
      <c r="I103" s="15">
        <v>6</v>
      </c>
      <c r="J103" s="15">
        <f t="shared" si="32"/>
        <v>22</v>
      </c>
      <c r="K103" s="15">
        <f t="shared" si="33"/>
        <v>23</v>
      </c>
      <c r="L103" s="15">
        <v>-7.99</v>
      </c>
      <c r="M103" s="15">
        <v>3.94</v>
      </c>
      <c r="N103" s="36">
        <f t="shared" si="28"/>
        <v>2.0279187817258886</v>
      </c>
      <c r="O103" s="15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x14ac:dyDescent="0.15">
      <c r="A104" s="23">
        <v>15</v>
      </c>
      <c r="B104" s="17">
        <f t="shared" si="35"/>
        <v>18</v>
      </c>
      <c r="C104" s="23">
        <f>C103+2</f>
        <v>21</v>
      </c>
      <c r="D104" s="23">
        <f>D103+3</f>
        <v>24</v>
      </c>
      <c r="E104" s="23">
        <v>327.58</v>
      </c>
      <c r="F104" s="23">
        <v>3.92</v>
      </c>
      <c r="G104" s="23">
        <f t="shared" si="27"/>
        <v>83.566326530612244</v>
      </c>
      <c r="H104" s="15">
        <v>5</v>
      </c>
      <c r="I104" s="15">
        <v>6</v>
      </c>
      <c r="J104" s="15">
        <f t="shared" si="32"/>
        <v>23</v>
      </c>
      <c r="K104" s="15">
        <f t="shared" si="33"/>
        <v>24</v>
      </c>
      <c r="L104" s="15">
        <v>-13.25</v>
      </c>
      <c r="M104" s="15">
        <v>4.07</v>
      </c>
      <c r="N104" s="36">
        <f t="shared" si="28"/>
        <v>3.2555282555282554</v>
      </c>
      <c r="O104" s="15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x14ac:dyDescent="0.15">
      <c r="A105" s="23">
        <v>15</v>
      </c>
      <c r="B105" s="17">
        <f t="shared" si="35"/>
        <v>19</v>
      </c>
      <c r="C105" s="23">
        <f>C104+2</f>
        <v>23</v>
      </c>
      <c r="D105" s="23">
        <v>3</v>
      </c>
      <c r="E105" s="23">
        <v>280.45999999999998</v>
      </c>
      <c r="F105" s="23">
        <v>4.87</v>
      </c>
      <c r="G105" s="23">
        <f t="shared" si="27"/>
        <v>57.589322381930181</v>
      </c>
      <c r="H105" s="15">
        <v>5</v>
      </c>
      <c r="I105" s="15">
        <v>6</v>
      </c>
      <c r="J105" s="15">
        <f>J104+1</f>
        <v>24</v>
      </c>
      <c r="K105" s="15">
        <v>1</v>
      </c>
      <c r="L105" s="15">
        <v>-16.64</v>
      </c>
      <c r="M105" s="15">
        <v>4.57</v>
      </c>
      <c r="N105" s="36">
        <f t="shared" si="28"/>
        <v>3.6411378555798688</v>
      </c>
      <c r="O105" s="15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x14ac:dyDescent="0.15">
      <c r="A106" s="23">
        <v>15</v>
      </c>
      <c r="B106" s="17">
        <f t="shared" si="35"/>
        <v>20</v>
      </c>
      <c r="C106" s="23">
        <v>1</v>
      </c>
      <c r="D106" s="23">
        <f>D105+3</f>
        <v>6</v>
      </c>
      <c r="E106" s="23">
        <v>186.93</v>
      </c>
      <c r="F106" s="23">
        <v>4.38</v>
      </c>
      <c r="G106" s="23">
        <f t="shared" si="27"/>
        <v>42.678082191780824</v>
      </c>
      <c r="H106" s="15">
        <v>5</v>
      </c>
      <c r="I106" s="15">
        <v>6</v>
      </c>
      <c r="J106" s="15">
        <v>1</v>
      </c>
      <c r="K106" s="15">
        <f>K105+1</f>
        <v>2</v>
      </c>
      <c r="L106" s="15">
        <v>-30.8</v>
      </c>
      <c r="M106" s="15">
        <v>3.8</v>
      </c>
      <c r="N106" s="36">
        <f t="shared" si="28"/>
        <v>8.1052631578947381</v>
      </c>
      <c r="O106" s="15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x14ac:dyDescent="0.15">
      <c r="A107" s="23">
        <v>15</v>
      </c>
      <c r="B107" s="17">
        <f t="shared" si="35"/>
        <v>21</v>
      </c>
      <c r="C107" s="23">
        <f>C106+2</f>
        <v>3</v>
      </c>
      <c r="D107" s="23">
        <f>D106+3</f>
        <v>9</v>
      </c>
      <c r="E107" s="23">
        <v>127.63</v>
      </c>
      <c r="F107" s="23">
        <v>3.91</v>
      </c>
      <c r="G107" s="23">
        <f t="shared" si="27"/>
        <v>32.641943734015342</v>
      </c>
      <c r="H107" s="15">
        <v>5</v>
      </c>
      <c r="I107" s="15">
        <v>6</v>
      </c>
      <c r="J107" s="15">
        <f>J106+1</f>
        <v>2</v>
      </c>
      <c r="K107" s="15">
        <f>K106+1</f>
        <v>3</v>
      </c>
      <c r="L107" s="15">
        <v>-78.709999999999994</v>
      </c>
      <c r="M107" s="15">
        <v>4.57</v>
      </c>
      <c r="N107" s="36">
        <f t="shared" si="28"/>
        <v>17.223194748358861</v>
      </c>
      <c r="O107" s="15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x14ac:dyDescent="0.15">
      <c r="A108" s="23">
        <v>15</v>
      </c>
      <c r="B108" s="17">
        <f t="shared" si="35"/>
        <v>22</v>
      </c>
      <c r="C108" s="23">
        <f>C107+2</f>
        <v>5</v>
      </c>
      <c r="D108" s="23">
        <f>D107+3</f>
        <v>12</v>
      </c>
      <c r="E108" s="23">
        <v>63.97</v>
      </c>
      <c r="F108" s="23">
        <v>4.09</v>
      </c>
      <c r="G108" s="23">
        <f t="shared" si="27"/>
        <v>15.640586797066016</v>
      </c>
      <c r="H108" s="15">
        <v>5</v>
      </c>
      <c r="I108" s="15">
        <v>6</v>
      </c>
      <c r="J108" s="15">
        <f>J107+1</f>
        <v>3</v>
      </c>
      <c r="K108" s="15">
        <f>K107+1</f>
        <v>4</v>
      </c>
      <c r="L108" s="15">
        <v>-213.84</v>
      </c>
      <c r="M108" s="15">
        <v>3.45</v>
      </c>
      <c r="N108" s="36">
        <f t="shared" si="28"/>
        <v>61.982608695652175</v>
      </c>
      <c r="O108" s="15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x14ac:dyDescent="0.15">
      <c r="A109" s="23">
        <v>16</v>
      </c>
      <c r="B109" s="17">
        <f>A109+1</f>
        <v>17</v>
      </c>
      <c r="C109" s="23">
        <f>B109+1</f>
        <v>18</v>
      </c>
      <c r="D109" s="23">
        <f>C109+1</f>
        <v>19</v>
      </c>
      <c r="E109" s="23">
        <v>1561.26</v>
      </c>
      <c r="F109" s="23">
        <v>7.42</v>
      </c>
      <c r="G109" s="23">
        <f t="shared" si="27"/>
        <v>210.41239892183287</v>
      </c>
      <c r="H109" s="15">
        <v>6</v>
      </c>
      <c r="I109" s="15">
        <v>7</v>
      </c>
      <c r="J109" s="15">
        <f>I109+1</f>
        <v>8</v>
      </c>
      <c r="K109" s="15">
        <f>J109+1</f>
        <v>9</v>
      </c>
      <c r="L109" s="15">
        <v>-561.04999999999995</v>
      </c>
      <c r="M109" s="15">
        <v>8.57</v>
      </c>
      <c r="N109" s="36">
        <f t="shared" si="28"/>
        <v>65.466744457409561</v>
      </c>
      <c r="O109" s="15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x14ac:dyDescent="0.15">
      <c r="A110" s="23">
        <v>16</v>
      </c>
      <c r="B110" s="17">
        <f t="shared" ref="B110:B115" si="36">B109+1</f>
        <v>18</v>
      </c>
      <c r="C110" s="23">
        <f>C109+2</f>
        <v>20</v>
      </c>
      <c r="D110" s="23">
        <f>D109+3</f>
        <v>22</v>
      </c>
      <c r="E110" s="23">
        <v>878.59</v>
      </c>
      <c r="F110" s="23">
        <v>7.58</v>
      </c>
      <c r="G110" s="23">
        <f t="shared" si="27"/>
        <v>115.9089709762533</v>
      </c>
      <c r="H110" s="15">
        <v>6</v>
      </c>
      <c r="I110" s="15">
        <v>7</v>
      </c>
      <c r="J110" s="15">
        <f t="shared" ref="J110:J124" si="37">J109+1</f>
        <v>9</v>
      </c>
      <c r="K110" s="15">
        <f t="shared" ref="K110:K124" si="38">K109+1</f>
        <v>10</v>
      </c>
      <c r="L110" s="15">
        <v>-143.21</v>
      </c>
      <c r="M110" s="15">
        <v>7.99</v>
      </c>
      <c r="N110" s="36">
        <f t="shared" si="28"/>
        <v>17.923654568210264</v>
      </c>
      <c r="O110" s="15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x14ac:dyDescent="0.15">
      <c r="A111" s="23">
        <v>16</v>
      </c>
      <c r="B111" s="17">
        <f t="shared" si="36"/>
        <v>19</v>
      </c>
      <c r="C111" s="23">
        <f>C110+2</f>
        <v>22</v>
      </c>
      <c r="D111" s="23">
        <v>1</v>
      </c>
      <c r="E111" s="23">
        <v>537.41999999999996</v>
      </c>
      <c r="F111" s="23">
        <v>6.96</v>
      </c>
      <c r="G111" s="23">
        <f t="shared" si="27"/>
        <v>77.215517241379303</v>
      </c>
      <c r="H111" s="15">
        <v>6</v>
      </c>
      <c r="I111" s="15">
        <v>7</v>
      </c>
      <c r="J111" s="15">
        <f t="shared" si="37"/>
        <v>10</v>
      </c>
      <c r="K111" s="15">
        <f t="shared" si="38"/>
        <v>11</v>
      </c>
      <c r="L111" s="15">
        <v>-58.93</v>
      </c>
      <c r="M111" s="15">
        <v>8.0299999999999994</v>
      </c>
      <c r="N111" s="36">
        <f t="shared" si="28"/>
        <v>7.3387297633872981</v>
      </c>
      <c r="O111" s="15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x14ac:dyDescent="0.15">
      <c r="A112" s="23">
        <v>16</v>
      </c>
      <c r="B112" s="17">
        <f t="shared" si="36"/>
        <v>20</v>
      </c>
      <c r="C112" s="23">
        <f>C111+2</f>
        <v>24</v>
      </c>
      <c r="D112" s="23">
        <v>4</v>
      </c>
      <c r="E112" s="22">
        <v>304.89</v>
      </c>
      <c r="F112" s="23">
        <v>5.3</v>
      </c>
      <c r="G112" s="23">
        <f t="shared" si="27"/>
        <v>57.526415094339619</v>
      </c>
      <c r="H112" s="15">
        <v>6</v>
      </c>
      <c r="I112" s="15">
        <v>7</v>
      </c>
      <c r="J112" s="15">
        <f t="shared" si="37"/>
        <v>11</v>
      </c>
      <c r="K112" s="15">
        <f t="shared" si="38"/>
        <v>12</v>
      </c>
      <c r="L112" s="15">
        <v>-32.869999999999997</v>
      </c>
      <c r="M112" s="15">
        <v>8.17</v>
      </c>
      <c r="N112" s="36">
        <f t="shared" si="28"/>
        <v>4.0232558139534884</v>
      </c>
      <c r="O112" s="15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x14ac:dyDescent="0.15">
      <c r="A113" s="23">
        <v>16</v>
      </c>
      <c r="B113" s="17">
        <f t="shared" si="36"/>
        <v>21</v>
      </c>
      <c r="C113" s="23">
        <v>2</v>
      </c>
      <c r="D113" s="23">
        <f>D112+3</f>
        <v>7</v>
      </c>
      <c r="E113" s="23">
        <v>344.02</v>
      </c>
      <c r="F113" s="23">
        <v>7.88</v>
      </c>
      <c r="G113" s="23">
        <f t="shared" si="27"/>
        <v>43.657360406091371</v>
      </c>
      <c r="H113" s="15">
        <v>6</v>
      </c>
      <c r="I113" s="15">
        <v>7</v>
      </c>
      <c r="J113" s="15">
        <f t="shared" si="37"/>
        <v>12</v>
      </c>
      <c r="K113" s="15">
        <f t="shared" si="38"/>
        <v>13</v>
      </c>
      <c r="L113" s="15">
        <v>-14.95</v>
      </c>
      <c r="M113" s="15">
        <v>8.3800000000000008</v>
      </c>
      <c r="N113" s="36">
        <f t="shared" si="28"/>
        <v>1.7840095465393793</v>
      </c>
      <c r="O113" s="15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x14ac:dyDescent="0.15">
      <c r="A114" s="23">
        <v>16</v>
      </c>
      <c r="B114" s="17">
        <f t="shared" si="36"/>
        <v>22</v>
      </c>
      <c r="C114" s="23">
        <f>C113+2</f>
        <v>4</v>
      </c>
      <c r="D114" s="23">
        <f>D113+3</f>
        <v>10</v>
      </c>
      <c r="E114" s="23">
        <v>221.78</v>
      </c>
      <c r="F114" s="23">
        <v>7.33</v>
      </c>
      <c r="G114" s="23">
        <f t="shared" si="27"/>
        <v>30.256480218281038</v>
      </c>
      <c r="H114" s="15">
        <v>6</v>
      </c>
      <c r="I114" s="15">
        <v>7</v>
      </c>
      <c r="J114" s="15">
        <f t="shared" si="37"/>
        <v>13</v>
      </c>
      <c r="K114" s="15">
        <f t="shared" si="38"/>
        <v>14</v>
      </c>
      <c r="L114" s="15">
        <v>-18.05</v>
      </c>
      <c r="M114" s="15">
        <v>8.3800000000000008</v>
      </c>
      <c r="N114" s="36">
        <f t="shared" si="28"/>
        <v>2.1539379474940334</v>
      </c>
      <c r="O114" s="15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x14ac:dyDescent="0.15">
      <c r="A115" s="23">
        <v>16</v>
      </c>
      <c r="B115" s="17">
        <f t="shared" si="36"/>
        <v>23</v>
      </c>
      <c r="C115" s="23">
        <f>C114+2</f>
        <v>6</v>
      </c>
      <c r="D115" s="23">
        <f>D114+3</f>
        <v>13</v>
      </c>
      <c r="E115" s="23">
        <v>102.17</v>
      </c>
      <c r="F115" s="23">
        <v>6.08</v>
      </c>
      <c r="G115" s="23">
        <f t="shared" si="27"/>
        <v>16.804276315789473</v>
      </c>
      <c r="H115" s="15">
        <v>6</v>
      </c>
      <c r="I115" s="15">
        <v>7</v>
      </c>
      <c r="J115" s="15">
        <f t="shared" si="37"/>
        <v>14</v>
      </c>
      <c r="K115" s="15">
        <f t="shared" si="38"/>
        <v>15</v>
      </c>
      <c r="L115" s="15">
        <v>-15.89</v>
      </c>
      <c r="M115" s="15">
        <v>8.19</v>
      </c>
      <c r="N115" s="36">
        <f t="shared" si="28"/>
        <v>1.9401709401709404</v>
      </c>
      <c r="O115" s="15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x14ac:dyDescent="0.15">
      <c r="A116" s="23">
        <v>17</v>
      </c>
      <c r="B116" s="17">
        <f>A116+1</f>
        <v>18</v>
      </c>
      <c r="C116" s="23">
        <f>B116+1</f>
        <v>19</v>
      </c>
      <c r="D116" s="23">
        <f>C116+1</f>
        <v>20</v>
      </c>
      <c r="E116" s="23">
        <v>1286.58</v>
      </c>
      <c r="F116" s="23">
        <v>5.97</v>
      </c>
      <c r="G116" s="23">
        <f t="shared" si="27"/>
        <v>215.5075376884422</v>
      </c>
      <c r="H116" s="15">
        <v>6</v>
      </c>
      <c r="I116" s="15">
        <v>7</v>
      </c>
      <c r="J116" s="15">
        <f t="shared" si="37"/>
        <v>15</v>
      </c>
      <c r="K116" s="15">
        <f t="shared" si="38"/>
        <v>16</v>
      </c>
      <c r="L116" s="15">
        <v>-6.27</v>
      </c>
      <c r="M116" s="15">
        <v>8.31</v>
      </c>
      <c r="N116" s="36">
        <f t="shared" si="28"/>
        <v>0.75451263537906132</v>
      </c>
      <c r="O116" s="15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x14ac:dyDescent="0.15">
      <c r="A117" s="23">
        <v>17</v>
      </c>
      <c r="B117" s="17">
        <f t="shared" ref="B117:B122" si="39">B116+1</f>
        <v>19</v>
      </c>
      <c r="C117" s="23">
        <f>C116+2</f>
        <v>21</v>
      </c>
      <c r="D117" s="23">
        <f>D116+3</f>
        <v>23</v>
      </c>
      <c r="E117" s="23">
        <v>670.06</v>
      </c>
      <c r="F117" s="23">
        <v>6.07</v>
      </c>
      <c r="G117" s="23">
        <f t="shared" si="27"/>
        <v>110.38879736408565</v>
      </c>
      <c r="H117" s="15">
        <v>6</v>
      </c>
      <c r="I117" s="15">
        <v>7</v>
      </c>
      <c r="J117" s="15">
        <f t="shared" si="37"/>
        <v>16</v>
      </c>
      <c r="K117" s="15">
        <f t="shared" si="38"/>
        <v>17</v>
      </c>
      <c r="L117" s="15">
        <v>-7.85</v>
      </c>
      <c r="M117" s="15">
        <v>8.52</v>
      </c>
      <c r="N117" s="36">
        <f t="shared" si="28"/>
        <v>0.92136150234741787</v>
      </c>
      <c r="O117" s="15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x14ac:dyDescent="0.15">
      <c r="A118" s="23">
        <v>17</v>
      </c>
      <c r="B118" s="17">
        <f t="shared" si="39"/>
        <v>20</v>
      </c>
      <c r="C118" s="23">
        <f>C117+2</f>
        <v>23</v>
      </c>
      <c r="D118" s="23">
        <v>2</v>
      </c>
      <c r="E118" s="23">
        <v>533.6</v>
      </c>
      <c r="F118" s="23">
        <v>6.98</v>
      </c>
      <c r="G118" s="23">
        <f t="shared" si="27"/>
        <v>76.446991404011456</v>
      </c>
      <c r="H118" s="15">
        <v>6</v>
      </c>
      <c r="I118" s="15">
        <v>7</v>
      </c>
      <c r="J118" s="15">
        <f t="shared" si="37"/>
        <v>17</v>
      </c>
      <c r="K118" s="15">
        <f t="shared" si="38"/>
        <v>18</v>
      </c>
      <c r="L118" s="15">
        <v>-7.36</v>
      </c>
      <c r="M118" s="15">
        <v>8.7899999999999991</v>
      </c>
      <c r="N118" s="36">
        <f t="shared" si="28"/>
        <v>0.83731513083048936</v>
      </c>
      <c r="O118" s="15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x14ac:dyDescent="0.15">
      <c r="A119" s="23">
        <v>17</v>
      </c>
      <c r="B119" s="17">
        <f t="shared" si="39"/>
        <v>21</v>
      </c>
      <c r="C119" s="23">
        <v>1</v>
      </c>
      <c r="D119" s="23">
        <f>D118+3</f>
        <v>5</v>
      </c>
      <c r="E119" s="23">
        <v>250.36</v>
      </c>
      <c r="F119" s="23">
        <v>4.4800000000000004</v>
      </c>
      <c r="G119" s="23">
        <f t="shared" si="27"/>
        <v>55.883928571428569</v>
      </c>
      <c r="H119" s="15">
        <v>6</v>
      </c>
      <c r="I119" s="15">
        <v>7</v>
      </c>
      <c r="J119" s="15">
        <f t="shared" si="37"/>
        <v>18</v>
      </c>
      <c r="K119" s="15">
        <f t="shared" si="38"/>
        <v>19</v>
      </c>
      <c r="L119" s="15">
        <v>-6.87</v>
      </c>
      <c r="M119" s="15">
        <v>8.27</v>
      </c>
      <c r="N119" s="36">
        <f t="shared" si="28"/>
        <v>0.83071342200725518</v>
      </c>
      <c r="O119" s="15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x14ac:dyDescent="0.15">
      <c r="A120" s="23">
        <v>17</v>
      </c>
      <c r="B120" s="17">
        <f t="shared" si="39"/>
        <v>22</v>
      </c>
      <c r="C120" s="23">
        <f>C119+2</f>
        <v>3</v>
      </c>
      <c r="D120" s="23">
        <f>D119+3</f>
        <v>8</v>
      </c>
      <c r="E120" s="23">
        <v>242.59</v>
      </c>
      <c r="F120" s="23">
        <v>5.62</v>
      </c>
      <c r="G120" s="23">
        <f t="shared" si="27"/>
        <v>43.165480427046262</v>
      </c>
      <c r="H120" s="15">
        <v>6</v>
      </c>
      <c r="I120" s="15">
        <v>7</v>
      </c>
      <c r="J120" s="15">
        <f t="shared" si="37"/>
        <v>19</v>
      </c>
      <c r="K120" s="15">
        <f t="shared" si="38"/>
        <v>20</v>
      </c>
      <c r="L120" s="15">
        <v>-6</v>
      </c>
      <c r="M120" s="15">
        <v>8.1199999999999992</v>
      </c>
      <c r="N120" s="36">
        <f t="shared" si="28"/>
        <v>0.73891625615763556</v>
      </c>
      <c r="O120" s="15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x14ac:dyDescent="0.15">
      <c r="A121" s="23">
        <v>17</v>
      </c>
      <c r="B121" s="17">
        <f t="shared" si="39"/>
        <v>23</v>
      </c>
      <c r="C121" s="23">
        <f>C120+2</f>
        <v>5</v>
      </c>
      <c r="D121" s="23">
        <f>D120+3</f>
        <v>11</v>
      </c>
      <c r="E121" s="23">
        <v>170.88</v>
      </c>
      <c r="F121" s="23">
        <v>5.64</v>
      </c>
      <c r="G121" s="23">
        <f t="shared" si="27"/>
        <v>30.297872340425531</v>
      </c>
      <c r="H121" s="15">
        <v>6</v>
      </c>
      <c r="I121" s="15">
        <v>7</v>
      </c>
      <c r="J121" s="15">
        <f t="shared" si="37"/>
        <v>20</v>
      </c>
      <c r="K121" s="15">
        <f t="shared" si="38"/>
        <v>21</v>
      </c>
      <c r="L121" s="15">
        <v>-7.4</v>
      </c>
      <c r="M121" s="15">
        <v>8.19</v>
      </c>
      <c r="N121" s="36">
        <f t="shared" si="28"/>
        <v>0.90354090354090366</v>
      </c>
      <c r="O121" s="15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x14ac:dyDescent="0.15">
      <c r="A122" s="23">
        <v>17</v>
      </c>
      <c r="B122" s="17">
        <f t="shared" si="39"/>
        <v>24</v>
      </c>
      <c r="C122" s="23">
        <f>C121+2</f>
        <v>7</v>
      </c>
      <c r="D122" s="23">
        <f>D121+3</f>
        <v>14</v>
      </c>
      <c r="E122" s="23">
        <v>90.14</v>
      </c>
      <c r="F122" s="23">
        <v>5.22</v>
      </c>
      <c r="G122" s="23">
        <f t="shared" si="27"/>
        <v>17.268199233716476</v>
      </c>
      <c r="H122" s="15">
        <v>6</v>
      </c>
      <c r="I122" s="15">
        <v>7</v>
      </c>
      <c r="J122" s="15">
        <f t="shared" si="37"/>
        <v>21</v>
      </c>
      <c r="K122" s="15">
        <f t="shared" si="38"/>
        <v>22</v>
      </c>
      <c r="L122" s="15">
        <v>-8.5500000000000007</v>
      </c>
      <c r="M122" s="15">
        <v>8.1</v>
      </c>
      <c r="N122" s="36">
        <f t="shared" si="28"/>
        <v>1.0555555555555556</v>
      </c>
      <c r="O122" s="15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x14ac:dyDescent="0.15">
      <c r="A123" s="23">
        <v>18</v>
      </c>
      <c r="B123" s="17">
        <f>A123+1</f>
        <v>19</v>
      </c>
      <c r="C123" s="23">
        <f>B123+1</f>
        <v>20</v>
      </c>
      <c r="D123" s="23">
        <f>C123+1</f>
        <v>21</v>
      </c>
      <c r="E123" s="23">
        <v>1348.88</v>
      </c>
      <c r="F123" s="23">
        <v>6.85</v>
      </c>
      <c r="G123" s="37">
        <f t="shared" si="27"/>
        <v>196.9167883211679</v>
      </c>
      <c r="H123" s="15">
        <v>6</v>
      </c>
      <c r="I123" s="15">
        <v>7</v>
      </c>
      <c r="J123" s="15">
        <f t="shared" si="37"/>
        <v>22</v>
      </c>
      <c r="K123" s="15">
        <f t="shared" si="38"/>
        <v>23</v>
      </c>
      <c r="L123" s="15">
        <v>-9.23</v>
      </c>
      <c r="M123" s="15">
        <v>7.93</v>
      </c>
      <c r="N123" s="36">
        <f t="shared" si="28"/>
        <v>1.1639344262295084</v>
      </c>
      <c r="O123" s="15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x14ac:dyDescent="0.15">
      <c r="A124" s="23">
        <v>18</v>
      </c>
      <c r="B124" s="17">
        <f>B123+1</f>
        <v>20</v>
      </c>
      <c r="C124" s="23">
        <f>C123+2</f>
        <v>22</v>
      </c>
      <c r="D124" s="23">
        <f>D123+3</f>
        <v>24</v>
      </c>
      <c r="E124" s="23">
        <v>739.69</v>
      </c>
      <c r="F124" s="23">
        <v>6.58</v>
      </c>
      <c r="G124" s="23">
        <f t="shared" si="27"/>
        <v>112.41489361702128</v>
      </c>
      <c r="H124" s="15">
        <v>6</v>
      </c>
      <c r="I124" s="15">
        <v>7</v>
      </c>
      <c r="J124" s="15">
        <f t="shared" si="37"/>
        <v>23</v>
      </c>
      <c r="K124" s="15">
        <f t="shared" si="38"/>
        <v>24</v>
      </c>
      <c r="L124" s="15">
        <v>-13.6</v>
      </c>
      <c r="M124" s="15">
        <v>7.89</v>
      </c>
      <c r="N124" s="36">
        <f t="shared" si="28"/>
        <v>1.7237008871989861</v>
      </c>
      <c r="O124" s="15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x14ac:dyDescent="0.15">
      <c r="A125" s="23">
        <v>18</v>
      </c>
      <c r="B125" s="17">
        <f>B124+1</f>
        <v>21</v>
      </c>
      <c r="C125" s="23">
        <f>C124+2</f>
        <v>24</v>
      </c>
      <c r="D125" s="23">
        <v>3</v>
      </c>
      <c r="E125" s="23">
        <v>618.85</v>
      </c>
      <c r="F125" s="23">
        <v>8.1300000000000008</v>
      </c>
      <c r="G125" s="23">
        <f t="shared" si="27"/>
        <v>76.119311193111926</v>
      </c>
      <c r="H125" s="15">
        <v>6</v>
      </c>
      <c r="I125" s="15">
        <v>7</v>
      </c>
      <c r="J125" s="15">
        <f>J124+1</f>
        <v>24</v>
      </c>
      <c r="K125" s="15">
        <v>1</v>
      </c>
      <c r="L125" s="22">
        <v>-18.100000000000001</v>
      </c>
      <c r="M125" s="22">
        <v>7.95</v>
      </c>
      <c r="N125" s="36">
        <f t="shared" si="28"/>
        <v>2.2767295597484276</v>
      </c>
      <c r="O125" s="15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x14ac:dyDescent="0.15">
      <c r="A126" s="23">
        <v>18</v>
      </c>
      <c r="B126" s="17">
        <f>B125+1</f>
        <v>22</v>
      </c>
      <c r="C126" s="23">
        <v>2</v>
      </c>
      <c r="D126" s="23">
        <f>D125+3</f>
        <v>6</v>
      </c>
      <c r="E126" s="23">
        <v>494.6</v>
      </c>
      <c r="F126" s="23">
        <v>8.43</v>
      </c>
      <c r="G126" s="23">
        <f t="shared" si="27"/>
        <v>58.671411625148288</v>
      </c>
      <c r="H126" s="15">
        <v>6</v>
      </c>
      <c r="I126" s="15">
        <v>7</v>
      </c>
      <c r="J126" s="15">
        <v>1</v>
      </c>
      <c r="K126" s="15">
        <f>K125+1</f>
        <v>2</v>
      </c>
      <c r="L126" s="15">
        <v>-33.4</v>
      </c>
      <c r="M126" s="15">
        <v>7.93</v>
      </c>
      <c r="N126" s="36">
        <f t="shared" si="28"/>
        <v>4.2118537200504411</v>
      </c>
      <c r="O126" s="15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x14ac:dyDescent="0.15">
      <c r="A127" s="23">
        <v>18</v>
      </c>
      <c r="B127" s="17">
        <f>B126+1</f>
        <v>23</v>
      </c>
      <c r="C127" s="23">
        <f>C126+2</f>
        <v>4</v>
      </c>
      <c r="D127" s="23">
        <f>D126+3</f>
        <v>9</v>
      </c>
      <c r="E127" s="23">
        <v>345.08</v>
      </c>
      <c r="F127" s="23">
        <v>7.76</v>
      </c>
      <c r="G127" s="23">
        <f t="shared" si="27"/>
        <v>44.46907216494845</v>
      </c>
      <c r="H127" s="15">
        <v>6</v>
      </c>
      <c r="I127" s="15">
        <v>7</v>
      </c>
      <c r="J127" s="15">
        <f>J126+1</f>
        <v>2</v>
      </c>
      <c r="K127" s="15">
        <f>K126+1</f>
        <v>3</v>
      </c>
      <c r="L127" s="15">
        <v>-57.36</v>
      </c>
      <c r="M127" s="15">
        <v>7.88</v>
      </c>
      <c r="N127" s="36">
        <f t="shared" si="28"/>
        <v>7.2791878172588831</v>
      </c>
      <c r="O127" s="15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x14ac:dyDescent="0.15">
      <c r="A128" s="23">
        <v>18</v>
      </c>
      <c r="B128" s="17">
        <f>B127+1</f>
        <v>24</v>
      </c>
      <c r="C128" s="23">
        <f>C127+2</f>
        <v>6</v>
      </c>
      <c r="D128" s="23">
        <f>D127+3</f>
        <v>12</v>
      </c>
      <c r="E128" s="23">
        <v>273.48</v>
      </c>
      <c r="F128" s="23">
        <v>8.6999999999999993</v>
      </c>
      <c r="G128" s="23">
        <f t="shared" si="27"/>
        <v>31.434482758620696</v>
      </c>
      <c r="H128" s="15">
        <v>6</v>
      </c>
      <c r="I128" s="15">
        <v>7</v>
      </c>
      <c r="J128" s="15">
        <f>J127+1</f>
        <v>3</v>
      </c>
      <c r="K128" s="15">
        <f>K127+1</f>
        <v>4</v>
      </c>
      <c r="L128" s="15">
        <v>-132.59</v>
      </c>
      <c r="M128" s="15">
        <v>7.99</v>
      </c>
      <c r="N128" s="36">
        <f t="shared" si="28"/>
        <v>16.594493116395494</v>
      </c>
      <c r="O128" s="15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x14ac:dyDescent="0.15">
      <c r="A129" s="23">
        <v>18</v>
      </c>
      <c r="B129" s="17">
        <v>1</v>
      </c>
      <c r="C129" s="23">
        <f>C128+2</f>
        <v>8</v>
      </c>
      <c r="D129" s="23">
        <f>D128+3</f>
        <v>15</v>
      </c>
      <c r="E129" s="23">
        <v>41.88</v>
      </c>
      <c r="F129" s="23">
        <v>2.41</v>
      </c>
      <c r="G129" s="23">
        <f t="shared" si="27"/>
        <v>17.377593360995849</v>
      </c>
      <c r="H129" s="15">
        <v>6</v>
      </c>
      <c r="I129" s="15">
        <v>7</v>
      </c>
      <c r="J129" s="15">
        <f>J128+1</f>
        <v>4</v>
      </c>
      <c r="K129" s="15">
        <f>K128+1</f>
        <v>5</v>
      </c>
      <c r="L129" s="15">
        <v>-524.95000000000005</v>
      </c>
      <c r="M129" s="15">
        <v>8.16</v>
      </c>
      <c r="N129" s="36">
        <f t="shared" si="28"/>
        <v>64.332107843137265</v>
      </c>
      <c r="O129" s="15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x14ac:dyDescent="0.15">
      <c r="A130" s="23">
        <v>19</v>
      </c>
      <c r="B130" s="17">
        <f>A130+1</f>
        <v>20</v>
      </c>
      <c r="C130" s="23">
        <f>B130+1</f>
        <v>21</v>
      </c>
      <c r="D130" s="23">
        <f>C130+1</f>
        <v>22</v>
      </c>
      <c r="E130" s="29">
        <v>1729.25</v>
      </c>
      <c r="F130" s="29">
        <v>8.07</v>
      </c>
      <c r="G130" s="23">
        <f t="shared" si="27"/>
        <v>214.2812887236679</v>
      </c>
      <c r="H130" s="15">
        <v>7</v>
      </c>
      <c r="I130" s="15">
        <v>8</v>
      </c>
      <c r="J130" s="15">
        <f>I130+1</f>
        <v>9</v>
      </c>
      <c r="K130" s="15">
        <f>J130+1</f>
        <v>10</v>
      </c>
      <c r="L130" s="15">
        <v>-568.87</v>
      </c>
      <c r="M130" s="15">
        <v>8.44</v>
      </c>
      <c r="N130" s="36">
        <f t="shared" si="28"/>
        <v>67.401658767772517</v>
      </c>
      <c r="O130" s="15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x14ac:dyDescent="0.15">
      <c r="A131" s="23">
        <v>19</v>
      </c>
      <c r="B131" s="17">
        <f>B130+1</f>
        <v>21</v>
      </c>
      <c r="C131" s="23">
        <f>C130+2</f>
        <v>23</v>
      </c>
      <c r="D131" s="23">
        <v>1</v>
      </c>
      <c r="E131" s="23">
        <v>821.63</v>
      </c>
      <c r="F131" s="23">
        <v>7.29</v>
      </c>
      <c r="G131" s="23">
        <f t="shared" si="27"/>
        <v>112.70644718792867</v>
      </c>
      <c r="H131" s="15">
        <v>7</v>
      </c>
      <c r="I131" s="15">
        <v>8</v>
      </c>
      <c r="J131" s="15">
        <f t="shared" ref="J131:J144" si="40">J130+1</f>
        <v>10</v>
      </c>
      <c r="K131" s="15">
        <f t="shared" ref="K131:K144" si="41">K130+1</f>
        <v>11</v>
      </c>
      <c r="L131" s="15">
        <v>-141.4</v>
      </c>
      <c r="M131" s="15">
        <v>8.34</v>
      </c>
      <c r="N131" s="36">
        <f t="shared" si="28"/>
        <v>16.954436450839328</v>
      </c>
      <c r="O131" s="15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x14ac:dyDescent="0.15">
      <c r="A132" s="23">
        <v>19</v>
      </c>
      <c r="B132" s="17">
        <f>B131+1</f>
        <v>22</v>
      </c>
      <c r="C132" s="23">
        <v>1</v>
      </c>
      <c r="D132" s="23">
        <f>D131+3</f>
        <v>4</v>
      </c>
      <c r="E132" s="23">
        <v>430.41</v>
      </c>
      <c r="F132" s="23">
        <v>5.49</v>
      </c>
      <c r="G132" s="23">
        <f t="shared" si="27"/>
        <v>78.398907103825138</v>
      </c>
      <c r="H132" s="15">
        <v>7</v>
      </c>
      <c r="I132" s="15">
        <v>8</v>
      </c>
      <c r="J132" s="15">
        <f t="shared" si="40"/>
        <v>11</v>
      </c>
      <c r="K132" s="15">
        <f t="shared" si="41"/>
        <v>12</v>
      </c>
      <c r="L132" s="15">
        <v>-51.28</v>
      </c>
      <c r="M132" s="15">
        <v>8.2899999999999991</v>
      </c>
      <c r="N132" s="36">
        <f t="shared" si="28"/>
        <v>6.1857659831121845</v>
      </c>
      <c r="O132" s="15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x14ac:dyDescent="0.15">
      <c r="A133" s="23">
        <v>19</v>
      </c>
      <c r="B133" s="17">
        <f>B132+1</f>
        <v>23</v>
      </c>
      <c r="C133" s="23">
        <f>C132+2</f>
        <v>3</v>
      </c>
      <c r="D133" s="23">
        <f>D132+3</f>
        <v>7</v>
      </c>
      <c r="E133" s="23">
        <v>482.92</v>
      </c>
      <c r="F133" s="23">
        <v>8.23</v>
      </c>
      <c r="G133" s="23">
        <f t="shared" ref="G133:G171" si="42">E133/F133</f>
        <v>58.67800729040097</v>
      </c>
      <c r="H133" s="15">
        <v>7</v>
      </c>
      <c r="I133" s="15">
        <v>8</v>
      </c>
      <c r="J133" s="15">
        <f t="shared" si="40"/>
        <v>12</v>
      </c>
      <c r="K133" s="15">
        <f t="shared" si="41"/>
        <v>13</v>
      </c>
      <c r="L133" s="15">
        <v>-26.41</v>
      </c>
      <c r="M133" s="15">
        <v>8.25</v>
      </c>
      <c r="N133" s="36">
        <f t="shared" ref="N133:N196" si="43">-L133/M133</f>
        <v>3.2012121212121212</v>
      </c>
      <c r="O133" s="15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x14ac:dyDescent="0.15">
      <c r="A134" s="23">
        <v>19</v>
      </c>
      <c r="B134" s="17">
        <f>B133+1</f>
        <v>24</v>
      </c>
      <c r="C134" s="23">
        <f>C133+2</f>
        <v>5</v>
      </c>
      <c r="D134" s="23">
        <f>D133+3</f>
        <v>10</v>
      </c>
      <c r="E134" s="23">
        <v>335.19</v>
      </c>
      <c r="F134" s="23">
        <v>7.57</v>
      </c>
      <c r="G134" s="23">
        <f t="shared" si="42"/>
        <v>44.278731836195504</v>
      </c>
      <c r="H134" s="15">
        <v>7</v>
      </c>
      <c r="I134" s="15">
        <v>8</v>
      </c>
      <c r="J134" s="15">
        <f t="shared" si="40"/>
        <v>13</v>
      </c>
      <c r="K134" s="15">
        <f t="shared" si="41"/>
        <v>14</v>
      </c>
      <c r="L134" s="15">
        <v>-22.45</v>
      </c>
      <c r="M134" s="15">
        <v>8.2899999999999991</v>
      </c>
      <c r="N134" s="36">
        <f t="shared" si="43"/>
        <v>2.7080820265379977</v>
      </c>
      <c r="O134" s="15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x14ac:dyDescent="0.15">
      <c r="A135" s="23">
        <v>19</v>
      </c>
      <c r="B135" s="17">
        <v>1</v>
      </c>
      <c r="C135" s="23">
        <f>C134+2</f>
        <v>7</v>
      </c>
      <c r="D135" s="23">
        <f>D134+3</f>
        <v>13</v>
      </c>
      <c r="E135" s="23">
        <v>183.08</v>
      </c>
      <c r="F135" s="23">
        <v>5.69</v>
      </c>
      <c r="G135" s="23">
        <f t="shared" si="42"/>
        <v>32.175746924428822</v>
      </c>
      <c r="H135" s="15">
        <v>7</v>
      </c>
      <c r="I135" s="15">
        <v>8</v>
      </c>
      <c r="J135" s="15">
        <f t="shared" si="40"/>
        <v>14</v>
      </c>
      <c r="K135" s="15">
        <f t="shared" si="41"/>
        <v>15</v>
      </c>
      <c r="L135" s="15">
        <v>-11.46</v>
      </c>
      <c r="M135" s="15">
        <v>7.77</v>
      </c>
      <c r="N135" s="36">
        <f t="shared" si="43"/>
        <v>1.4749034749034751</v>
      </c>
      <c r="O135" s="15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x14ac:dyDescent="0.15">
      <c r="A136" s="23">
        <v>19</v>
      </c>
      <c r="B136" s="17">
        <f>B135+1</f>
        <v>2</v>
      </c>
      <c r="C136" s="23">
        <f>C135+2</f>
        <v>9</v>
      </c>
      <c r="D136" s="23">
        <f>D135+3</f>
        <v>16</v>
      </c>
      <c r="E136" s="23">
        <v>134.13999999999999</v>
      </c>
      <c r="F136" s="23">
        <v>7.92</v>
      </c>
      <c r="G136" s="23">
        <f t="shared" si="42"/>
        <v>16.936868686868685</v>
      </c>
      <c r="H136" s="15">
        <v>7</v>
      </c>
      <c r="I136" s="15">
        <v>8</v>
      </c>
      <c r="J136" s="15">
        <f t="shared" si="40"/>
        <v>15</v>
      </c>
      <c r="K136" s="15">
        <f t="shared" si="41"/>
        <v>16</v>
      </c>
      <c r="L136" s="15">
        <v>-7.21</v>
      </c>
      <c r="M136" s="15">
        <v>7.76</v>
      </c>
      <c r="N136" s="36">
        <f t="shared" si="43"/>
        <v>0.92912371134020622</v>
      </c>
      <c r="O136" s="15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x14ac:dyDescent="0.15">
      <c r="A137" s="23">
        <v>20</v>
      </c>
      <c r="B137" s="17">
        <f>A137+1</f>
        <v>21</v>
      </c>
      <c r="C137" s="23">
        <f>B137+1</f>
        <v>22</v>
      </c>
      <c r="D137" s="23">
        <f>C137+1</f>
        <v>23</v>
      </c>
      <c r="E137" s="23">
        <v>1106.6199999999999</v>
      </c>
      <c r="F137" s="23">
        <v>5.22</v>
      </c>
      <c r="G137" s="23">
        <f t="shared" si="42"/>
        <v>211.99616858237547</v>
      </c>
      <c r="H137" s="15">
        <v>7</v>
      </c>
      <c r="I137" s="15">
        <v>8</v>
      </c>
      <c r="J137" s="15">
        <f t="shared" si="40"/>
        <v>16</v>
      </c>
      <c r="K137" s="15">
        <f t="shared" si="41"/>
        <v>17</v>
      </c>
      <c r="L137" s="15">
        <v>-6.82</v>
      </c>
      <c r="M137" s="15">
        <v>7.67</v>
      </c>
      <c r="N137" s="36">
        <f t="shared" si="43"/>
        <v>0.88917861799217734</v>
      </c>
      <c r="O137" s="15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x14ac:dyDescent="0.15">
      <c r="A138" s="23">
        <v>20</v>
      </c>
      <c r="B138" s="17">
        <f>B137+1</f>
        <v>22</v>
      </c>
      <c r="C138" s="23">
        <f>C137+2</f>
        <v>24</v>
      </c>
      <c r="D138" s="23">
        <v>2</v>
      </c>
      <c r="E138" s="23">
        <v>649.82000000000005</v>
      </c>
      <c r="F138" s="23">
        <v>5.86</v>
      </c>
      <c r="G138" s="23">
        <f t="shared" si="42"/>
        <v>110.89078498293516</v>
      </c>
      <c r="H138" s="15">
        <v>7</v>
      </c>
      <c r="I138" s="15">
        <v>8</v>
      </c>
      <c r="J138" s="15">
        <f t="shared" si="40"/>
        <v>17</v>
      </c>
      <c r="K138" s="15">
        <f t="shared" si="41"/>
        <v>18</v>
      </c>
      <c r="L138" s="15">
        <v>-5.71</v>
      </c>
      <c r="M138" s="15">
        <v>7.5</v>
      </c>
      <c r="N138" s="36">
        <f t="shared" si="43"/>
        <v>0.76133333333333331</v>
      </c>
      <c r="O138" s="15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x14ac:dyDescent="0.15">
      <c r="A139" s="23">
        <v>20</v>
      </c>
      <c r="B139" s="17">
        <f>B138+1</f>
        <v>23</v>
      </c>
      <c r="C139" s="23">
        <v>2</v>
      </c>
      <c r="D139" s="23">
        <f>D138+3</f>
        <v>5</v>
      </c>
      <c r="E139" s="23">
        <v>318.99</v>
      </c>
      <c r="F139" s="23">
        <v>4.07</v>
      </c>
      <c r="G139" s="23">
        <f t="shared" si="42"/>
        <v>78.375921375921379</v>
      </c>
      <c r="H139" s="15">
        <v>7</v>
      </c>
      <c r="I139" s="15">
        <v>8</v>
      </c>
      <c r="J139" s="15">
        <f t="shared" si="40"/>
        <v>18</v>
      </c>
      <c r="K139" s="15">
        <f t="shared" si="41"/>
        <v>19</v>
      </c>
      <c r="L139" s="15">
        <v>-5.38</v>
      </c>
      <c r="M139" s="15">
        <v>7.95</v>
      </c>
      <c r="N139" s="36">
        <f t="shared" si="43"/>
        <v>0.67672955974842763</v>
      </c>
      <c r="O139" s="15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x14ac:dyDescent="0.15">
      <c r="A140" s="23">
        <v>20</v>
      </c>
      <c r="B140" s="17">
        <f>B139+1</f>
        <v>24</v>
      </c>
      <c r="C140" s="23">
        <f>C139+2</f>
        <v>4</v>
      </c>
      <c r="D140" s="23">
        <f>D139+3</f>
        <v>8</v>
      </c>
      <c r="E140" s="23">
        <v>302.94</v>
      </c>
      <c r="F140" s="23">
        <v>5.18</v>
      </c>
      <c r="G140" s="23">
        <f t="shared" si="42"/>
        <v>58.482625482625487</v>
      </c>
      <c r="H140" s="15">
        <v>7</v>
      </c>
      <c r="I140" s="15">
        <v>8</v>
      </c>
      <c r="J140" s="15">
        <f t="shared" si="40"/>
        <v>19</v>
      </c>
      <c r="K140" s="15">
        <f t="shared" si="41"/>
        <v>20</v>
      </c>
      <c r="L140" s="15">
        <v>-5.09</v>
      </c>
      <c r="M140" s="15">
        <v>8.01</v>
      </c>
      <c r="N140" s="36">
        <f t="shared" si="43"/>
        <v>0.63545568039950062</v>
      </c>
      <c r="O140" s="15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x14ac:dyDescent="0.15">
      <c r="A141" s="23">
        <v>20</v>
      </c>
      <c r="B141" s="17">
        <v>1</v>
      </c>
      <c r="C141" s="23">
        <f>C140+2</f>
        <v>6</v>
      </c>
      <c r="D141" s="23">
        <f>D140+3</f>
        <v>11</v>
      </c>
      <c r="E141" s="23">
        <v>243.87</v>
      </c>
      <c r="F141" s="23">
        <v>5.4</v>
      </c>
      <c r="G141" s="23">
        <f t="shared" si="42"/>
        <v>45.161111111111111</v>
      </c>
      <c r="H141" s="15">
        <v>7</v>
      </c>
      <c r="I141" s="15">
        <v>8</v>
      </c>
      <c r="J141" s="15">
        <f t="shared" si="40"/>
        <v>20</v>
      </c>
      <c r="K141" s="15">
        <f t="shared" si="41"/>
        <v>21</v>
      </c>
      <c r="L141" s="15">
        <v>-5.14</v>
      </c>
      <c r="M141" s="15">
        <v>8.01</v>
      </c>
      <c r="N141" s="36">
        <f t="shared" si="43"/>
        <v>0.64169787765293385</v>
      </c>
      <c r="O141" s="15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x14ac:dyDescent="0.15">
      <c r="A142" s="23">
        <v>20</v>
      </c>
      <c r="B142" s="17">
        <f>B141+1</f>
        <v>2</v>
      </c>
      <c r="C142" s="23">
        <f>C141+2</f>
        <v>8</v>
      </c>
      <c r="D142" s="23">
        <f>D141+3</f>
        <v>14</v>
      </c>
      <c r="E142" s="23">
        <v>144.6</v>
      </c>
      <c r="F142" s="23">
        <v>4.57</v>
      </c>
      <c r="G142" s="23">
        <f t="shared" si="42"/>
        <v>31.641137855579867</v>
      </c>
      <c r="H142" s="15">
        <v>7</v>
      </c>
      <c r="I142" s="15">
        <v>8</v>
      </c>
      <c r="J142" s="15">
        <f t="shared" si="40"/>
        <v>21</v>
      </c>
      <c r="K142" s="15">
        <f t="shared" si="41"/>
        <v>22</v>
      </c>
      <c r="L142" s="15">
        <v>-5.32</v>
      </c>
      <c r="M142" s="15">
        <v>8.0399999999999991</v>
      </c>
      <c r="N142" s="36">
        <f t="shared" si="43"/>
        <v>0.66169154228855731</v>
      </c>
      <c r="O142" s="15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x14ac:dyDescent="0.15">
      <c r="A143" s="23">
        <v>20</v>
      </c>
      <c r="B143" s="17">
        <f>B142+1</f>
        <v>3</v>
      </c>
      <c r="C143" s="23">
        <f>C142+2</f>
        <v>10</v>
      </c>
      <c r="D143" s="23">
        <f>D142+3</f>
        <v>17</v>
      </c>
      <c r="E143" s="23">
        <v>107.75</v>
      </c>
      <c r="F143" s="23">
        <v>5.87</v>
      </c>
      <c r="G143" s="23">
        <f t="shared" si="42"/>
        <v>18.356047700170357</v>
      </c>
      <c r="H143" s="15">
        <v>7</v>
      </c>
      <c r="I143" s="15">
        <v>8</v>
      </c>
      <c r="J143" s="15">
        <f t="shared" si="40"/>
        <v>22</v>
      </c>
      <c r="K143" s="15">
        <f t="shared" si="41"/>
        <v>23</v>
      </c>
      <c r="L143" s="15">
        <v>-5.96</v>
      </c>
      <c r="M143" s="15">
        <v>8.27</v>
      </c>
      <c r="N143" s="36">
        <f t="shared" si="43"/>
        <v>0.720677146311971</v>
      </c>
      <c r="O143" s="15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x14ac:dyDescent="0.15">
      <c r="A144" s="23">
        <v>21</v>
      </c>
      <c r="B144" s="17">
        <f>A144+1</f>
        <v>22</v>
      </c>
      <c r="C144" s="23">
        <f>B144+1</f>
        <v>23</v>
      </c>
      <c r="D144" s="23">
        <f>C144+1</f>
        <v>24</v>
      </c>
      <c r="E144" s="23">
        <v>1121.71</v>
      </c>
      <c r="F144" s="23">
        <v>5.18</v>
      </c>
      <c r="G144" s="23">
        <f t="shared" si="42"/>
        <v>216.54633204633205</v>
      </c>
      <c r="H144" s="15">
        <v>7</v>
      </c>
      <c r="I144" s="15">
        <v>8</v>
      </c>
      <c r="J144" s="15">
        <f t="shared" si="40"/>
        <v>23</v>
      </c>
      <c r="K144" s="15">
        <f t="shared" si="41"/>
        <v>24</v>
      </c>
      <c r="L144" s="15">
        <v>-7.58</v>
      </c>
      <c r="M144" s="15">
        <v>7.84</v>
      </c>
      <c r="N144" s="36">
        <f t="shared" si="43"/>
        <v>0.96683673469387754</v>
      </c>
      <c r="O144" s="15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x14ac:dyDescent="0.15">
      <c r="A145" s="23">
        <v>21</v>
      </c>
      <c r="B145" s="17">
        <f>B144+1</f>
        <v>23</v>
      </c>
      <c r="C145" s="23">
        <v>1</v>
      </c>
      <c r="D145" s="23">
        <v>3</v>
      </c>
      <c r="E145" s="23">
        <v>692.08</v>
      </c>
      <c r="F145" s="23">
        <v>6.2</v>
      </c>
      <c r="G145" s="23">
        <f t="shared" si="42"/>
        <v>111.6258064516129</v>
      </c>
      <c r="H145" s="15">
        <v>7</v>
      </c>
      <c r="I145" s="15">
        <v>8</v>
      </c>
      <c r="J145" s="15">
        <f>J144+1</f>
        <v>24</v>
      </c>
      <c r="K145" s="15">
        <v>1</v>
      </c>
      <c r="L145" s="15">
        <v>-12.16</v>
      </c>
      <c r="M145" s="15">
        <v>8.39</v>
      </c>
      <c r="N145" s="36">
        <f t="shared" si="43"/>
        <v>1.4493444576877235</v>
      </c>
      <c r="O145" s="15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x14ac:dyDescent="0.15">
      <c r="A146" s="23">
        <v>21</v>
      </c>
      <c r="B146" s="17">
        <f>B145+1</f>
        <v>24</v>
      </c>
      <c r="C146" s="23">
        <f>C145+2</f>
        <v>3</v>
      </c>
      <c r="D146" s="23">
        <f>D145+3</f>
        <v>6</v>
      </c>
      <c r="E146" s="23">
        <v>499.54</v>
      </c>
      <c r="F146" s="23">
        <v>6.33</v>
      </c>
      <c r="G146" s="23">
        <f t="shared" si="42"/>
        <v>78.916271721958921</v>
      </c>
      <c r="H146" s="15">
        <v>7</v>
      </c>
      <c r="I146" s="15">
        <v>8</v>
      </c>
      <c r="J146" s="15">
        <v>1</v>
      </c>
      <c r="K146" s="15">
        <f>K145+1</f>
        <v>2</v>
      </c>
      <c r="L146" s="15">
        <v>-18.420000000000002</v>
      </c>
      <c r="M146" s="15">
        <v>8.36</v>
      </c>
      <c r="N146" s="36">
        <f t="shared" si="43"/>
        <v>2.2033492822966512</v>
      </c>
      <c r="O146" s="15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x14ac:dyDescent="0.15">
      <c r="A147" s="23">
        <v>21</v>
      </c>
      <c r="B147" s="17">
        <v>1</v>
      </c>
      <c r="C147" s="23">
        <f>C146+2</f>
        <v>5</v>
      </c>
      <c r="D147" s="23">
        <f>D146+3</f>
        <v>9</v>
      </c>
      <c r="E147" s="23">
        <v>352.24</v>
      </c>
      <c r="F147" s="23">
        <v>5.87</v>
      </c>
      <c r="G147" s="23">
        <f t="shared" si="42"/>
        <v>60.006814310051105</v>
      </c>
      <c r="H147" s="15">
        <v>7</v>
      </c>
      <c r="I147" s="15">
        <v>8</v>
      </c>
      <c r="J147" s="15">
        <f>J146+1</f>
        <v>2</v>
      </c>
      <c r="K147" s="15">
        <f>K146+1</f>
        <v>3</v>
      </c>
      <c r="L147" s="15">
        <v>-22.1</v>
      </c>
      <c r="M147" s="15">
        <v>6.25</v>
      </c>
      <c r="N147" s="36">
        <f t="shared" si="43"/>
        <v>3.536</v>
      </c>
      <c r="O147" s="15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x14ac:dyDescent="0.15">
      <c r="A148" s="23">
        <v>21</v>
      </c>
      <c r="B148" s="17">
        <f>B147+1</f>
        <v>2</v>
      </c>
      <c r="C148" s="23">
        <f>C147+2</f>
        <v>7</v>
      </c>
      <c r="D148" s="23">
        <f>D147+3</f>
        <v>12</v>
      </c>
      <c r="E148" s="23">
        <v>279.27</v>
      </c>
      <c r="F148" s="23">
        <v>6.13</v>
      </c>
      <c r="G148" s="23">
        <f t="shared" si="42"/>
        <v>45.557911908645998</v>
      </c>
      <c r="H148" s="15">
        <v>7</v>
      </c>
      <c r="I148" s="15">
        <v>8</v>
      </c>
      <c r="J148" s="15">
        <f>J147+1</f>
        <v>3</v>
      </c>
      <c r="K148" s="15">
        <f>K147+1</f>
        <v>4</v>
      </c>
      <c r="L148" s="15">
        <v>-48.85</v>
      </c>
      <c r="M148" s="15">
        <v>7.04</v>
      </c>
      <c r="N148" s="36">
        <f t="shared" si="43"/>
        <v>6.938920454545455</v>
      </c>
      <c r="O148" s="15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x14ac:dyDescent="0.15">
      <c r="A149" s="23">
        <v>21</v>
      </c>
      <c r="B149" s="17">
        <f>B148+1</f>
        <v>3</v>
      </c>
      <c r="C149" s="23">
        <f>C148+2</f>
        <v>9</v>
      </c>
      <c r="D149" s="23">
        <f>D148+3</f>
        <v>15</v>
      </c>
      <c r="E149" s="23">
        <v>116.99</v>
      </c>
      <c r="F149" s="23">
        <v>3.7</v>
      </c>
      <c r="G149" s="23">
        <f t="shared" si="42"/>
        <v>31.618918918918915</v>
      </c>
      <c r="H149" s="15">
        <v>7</v>
      </c>
      <c r="I149" s="15">
        <v>8</v>
      </c>
      <c r="J149" s="15">
        <f>J148+1</f>
        <v>4</v>
      </c>
      <c r="K149" s="15">
        <f>K148+1</f>
        <v>5</v>
      </c>
      <c r="L149" s="15">
        <v>-132.38999999999999</v>
      </c>
      <c r="M149" s="15">
        <v>7.85</v>
      </c>
      <c r="N149" s="36">
        <f t="shared" si="43"/>
        <v>16.86496815286624</v>
      </c>
      <c r="O149" s="15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x14ac:dyDescent="0.15">
      <c r="A150" s="23">
        <v>21</v>
      </c>
      <c r="B150" s="17">
        <f>B149+1</f>
        <v>4</v>
      </c>
      <c r="C150" s="23">
        <f>C149+2</f>
        <v>11</v>
      </c>
      <c r="D150" s="23">
        <f>D149+3</f>
        <v>18</v>
      </c>
      <c r="E150" s="23">
        <v>115.58</v>
      </c>
      <c r="F150" s="23">
        <v>6.42</v>
      </c>
      <c r="G150" s="23">
        <f t="shared" si="42"/>
        <v>18.003115264797508</v>
      </c>
      <c r="H150" s="15">
        <v>7</v>
      </c>
      <c r="I150" s="15">
        <v>8</v>
      </c>
      <c r="J150" s="15">
        <f>J149+1</f>
        <v>5</v>
      </c>
      <c r="K150" s="15">
        <f>K149+1</f>
        <v>6</v>
      </c>
      <c r="L150" s="15">
        <v>-521.26</v>
      </c>
      <c r="M150" s="15">
        <v>8.43</v>
      </c>
      <c r="N150" s="36">
        <f t="shared" si="43"/>
        <v>61.833926453143533</v>
      </c>
      <c r="O150" s="15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x14ac:dyDescent="0.15">
      <c r="A151" s="23">
        <v>22</v>
      </c>
      <c r="B151" s="17">
        <f>A151+1</f>
        <v>23</v>
      </c>
      <c r="C151" s="23">
        <f>B151+1</f>
        <v>24</v>
      </c>
      <c r="D151" s="23">
        <v>1</v>
      </c>
      <c r="E151" s="23">
        <v>1641.28</v>
      </c>
      <c r="F151" s="23">
        <v>7.69</v>
      </c>
      <c r="G151" s="23">
        <f t="shared" si="42"/>
        <v>213.43042912873861</v>
      </c>
      <c r="H151" s="15">
        <v>8</v>
      </c>
      <c r="I151" s="15">
        <v>9</v>
      </c>
      <c r="J151" s="15">
        <f>I151+1</f>
        <v>10</v>
      </c>
      <c r="K151" s="15">
        <f>J151+1</f>
        <v>11</v>
      </c>
      <c r="L151" s="15">
        <v>-454.97</v>
      </c>
      <c r="M151" s="15">
        <v>6.98</v>
      </c>
      <c r="N151" s="36">
        <f t="shared" si="43"/>
        <v>65.181948424068764</v>
      </c>
      <c r="O151" s="15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x14ac:dyDescent="0.15">
      <c r="A152" s="23">
        <v>22</v>
      </c>
      <c r="B152" s="17">
        <f>B151+1</f>
        <v>24</v>
      </c>
      <c r="C152" s="23">
        <v>2</v>
      </c>
      <c r="D152" s="23">
        <f t="shared" ref="D152:D157" si="44">D151+3</f>
        <v>4</v>
      </c>
      <c r="E152" s="23">
        <v>665.4</v>
      </c>
      <c r="F152" s="23">
        <v>5.66</v>
      </c>
      <c r="G152" s="23">
        <f t="shared" si="42"/>
        <v>117.56183745583039</v>
      </c>
      <c r="H152" s="15">
        <v>8</v>
      </c>
      <c r="I152" s="15">
        <v>9</v>
      </c>
      <c r="J152" s="15">
        <f t="shared" ref="J152:J164" si="45">J151+1</f>
        <v>11</v>
      </c>
      <c r="K152" s="15">
        <f t="shared" ref="K152:K164" si="46">K151+1</f>
        <v>12</v>
      </c>
      <c r="L152" s="15">
        <v>-117.88</v>
      </c>
      <c r="M152" s="15">
        <v>6.71</v>
      </c>
      <c r="N152" s="36">
        <f t="shared" si="43"/>
        <v>17.567809239940388</v>
      </c>
      <c r="O152" s="15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x14ac:dyDescent="0.15">
      <c r="A153" s="23">
        <v>22</v>
      </c>
      <c r="B153" s="17">
        <v>1</v>
      </c>
      <c r="C153" s="23">
        <f>C152+2</f>
        <v>4</v>
      </c>
      <c r="D153" s="23">
        <f t="shared" si="44"/>
        <v>7</v>
      </c>
      <c r="E153" s="23">
        <v>687.75</v>
      </c>
      <c r="F153" s="23">
        <v>8.69</v>
      </c>
      <c r="G153" s="23">
        <f t="shared" si="42"/>
        <v>79.142692750287694</v>
      </c>
      <c r="H153" s="15">
        <v>8</v>
      </c>
      <c r="I153" s="15">
        <v>9</v>
      </c>
      <c r="J153" s="15">
        <f t="shared" si="45"/>
        <v>12</v>
      </c>
      <c r="K153" s="15">
        <f t="shared" si="46"/>
        <v>13</v>
      </c>
      <c r="L153" s="15">
        <v>-25.59</v>
      </c>
      <c r="M153" s="15">
        <v>6.65</v>
      </c>
      <c r="N153" s="36">
        <f t="shared" si="43"/>
        <v>3.8481203007518796</v>
      </c>
      <c r="O153" s="15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x14ac:dyDescent="0.15">
      <c r="A154" s="23">
        <v>22</v>
      </c>
      <c r="B154" s="17">
        <f>B153+1</f>
        <v>2</v>
      </c>
      <c r="C154" s="23">
        <f>C153+2</f>
        <v>6</v>
      </c>
      <c r="D154" s="23">
        <f t="shared" si="44"/>
        <v>10</v>
      </c>
      <c r="E154" s="23">
        <v>463.64</v>
      </c>
      <c r="F154" s="23">
        <v>7.79</v>
      </c>
      <c r="G154" s="23">
        <f t="shared" si="42"/>
        <v>59.517329910141207</v>
      </c>
      <c r="H154" s="15">
        <v>8</v>
      </c>
      <c r="I154" s="15">
        <v>9</v>
      </c>
      <c r="J154" s="15">
        <f t="shared" si="45"/>
        <v>13</v>
      </c>
      <c r="K154" s="15">
        <f t="shared" si="46"/>
        <v>14</v>
      </c>
      <c r="L154" s="15">
        <v>-24.67</v>
      </c>
      <c r="M154" s="15">
        <v>6.91</v>
      </c>
      <c r="N154" s="36">
        <f t="shared" si="43"/>
        <v>3.5701881331403764</v>
      </c>
      <c r="O154" s="15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x14ac:dyDescent="0.15">
      <c r="A155" s="23">
        <v>22</v>
      </c>
      <c r="B155" s="17">
        <f>B154+1</f>
        <v>3</v>
      </c>
      <c r="C155" s="23">
        <f>C154+2</f>
        <v>8</v>
      </c>
      <c r="D155" s="23">
        <f t="shared" si="44"/>
        <v>13</v>
      </c>
      <c r="E155" s="23">
        <v>233.52</v>
      </c>
      <c r="F155" s="23">
        <v>5.17</v>
      </c>
      <c r="G155" s="23">
        <f t="shared" si="42"/>
        <v>45.168278529980661</v>
      </c>
      <c r="H155" s="15">
        <v>8</v>
      </c>
      <c r="I155" s="15">
        <v>9</v>
      </c>
      <c r="J155" s="15">
        <f t="shared" si="45"/>
        <v>14</v>
      </c>
      <c r="K155" s="15">
        <f t="shared" si="46"/>
        <v>15</v>
      </c>
      <c r="L155" s="15">
        <v>-10.89</v>
      </c>
      <c r="M155" s="15">
        <v>6.98</v>
      </c>
      <c r="N155" s="36">
        <f t="shared" si="43"/>
        <v>1.5601719197707735</v>
      </c>
      <c r="O155" s="15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x14ac:dyDescent="0.15">
      <c r="A156" s="23">
        <v>22</v>
      </c>
      <c r="B156" s="17">
        <f>B155+1</f>
        <v>4</v>
      </c>
      <c r="C156" s="23">
        <f>C155+2</f>
        <v>10</v>
      </c>
      <c r="D156" s="23">
        <f t="shared" si="44"/>
        <v>16</v>
      </c>
      <c r="E156" s="23">
        <v>253.49</v>
      </c>
      <c r="F156" s="23">
        <v>7.76</v>
      </c>
      <c r="G156" s="23">
        <f t="shared" si="42"/>
        <v>32.666237113402062</v>
      </c>
      <c r="H156" s="15">
        <v>8</v>
      </c>
      <c r="I156" s="15">
        <v>9</v>
      </c>
      <c r="J156" s="15">
        <f t="shared" si="45"/>
        <v>15</v>
      </c>
      <c r="K156" s="15">
        <f t="shared" si="46"/>
        <v>16</v>
      </c>
      <c r="L156" s="15">
        <v>-7.34</v>
      </c>
      <c r="M156" s="15">
        <v>6.54</v>
      </c>
      <c r="N156" s="36">
        <f t="shared" si="43"/>
        <v>1.1223241590214068</v>
      </c>
      <c r="O156" s="15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x14ac:dyDescent="0.15">
      <c r="A157" s="23">
        <v>22</v>
      </c>
      <c r="B157" s="17">
        <f>B156+1</f>
        <v>5</v>
      </c>
      <c r="C157" s="23">
        <f>C156+2</f>
        <v>12</v>
      </c>
      <c r="D157" s="23">
        <f t="shared" si="44"/>
        <v>19</v>
      </c>
      <c r="E157" s="23">
        <v>139.65</v>
      </c>
      <c r="F157" s="23">
        <v>8.11</v>
      </c>
      <c r="G157" s="23">
        <f t="shared" si="42"/>
        <v>17.219482120838475</v>
      </c>
      <c r="H157" s="15">
        <v>8</v>
      </c>
      <c r="I157" s="15">
        <v>9</v>
      </c>
      <c r="J157" s="15">
        <f t="shared" si="45"/>
        <v>16</v>
      </c>
      <c r="K157" s="15">
        <f t="shared" si="46"/>
        <v>17</v>
      </c>
      <c r="L157" s="15">
        <v>-8.8800000000000008</v>
      </c>
      <c r="M157" s="15">
        <v>6.89</v>
      </c>
      <c r="N157" s="36">
        <f t="shared" si="43"/>
        <v>1.288824383164006</v>
      </c>
      <c r="O157" s="15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x14ac:dyDescent="0.15">
      <c r="A158" s="23">
        <v>23</v>
      </c>
      <c r="B158" s="17">
        <f>A158+1</f>
        <v>24</v>
      </c>
      <c r="C158" s="23">
        <v>1</v>
      </c>
      <c r="D158" s="23">
        <v>2</v>
      </c>
      <c r="E158" s="23">
        <v>1253.31</v>
      </c>
      <c r="F158" s="23">
        <v>6.26</v>
      </c>
      <c r="G158" s="23">
        <f t="shared" si="42"/>
        <v>200.20926517571885</v>
      </c>
      <c r="H158" s="15">
        <v>8</v>
      </c>
      <c r="I158" s="15">
        <v>9</v>
      </c>
      <c r="J158" s="15">
        <f t="shared" si="45"/>
        <v>17</v>
      </c>
      <c r="K158" s="15">
        <f t="shared" si="46"/>
        <v>18</v>
      </c>
      <c r="L158" s="15">
        <v>-6.41</v>
      </c>
      <c r="M158" s="15">
        <v>6.62</v>
      </c>
      <c r="N158" s="36">
        <f t="shared" si="43"/>
        <v>0.96827794561933533</v>
      </c>
      <c r="O158" s="15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x14ac:dyDescent="0.15">
      <c r="A159" s="23">
        <v>23</v>
      </c>
      <c r="B159" s="17">
        <v>1</v>
      </c>
      <c r="C159" s="23">
        <f t="shared" ref="C159:C164" si="47">C158+2</f>
        <v>3</v>
      </c>
      <c r="D159" s="23">
        <f t="shared" ref="D159:D164" si="48">D158+3</f>
        <v>5</v>
      </c>
      <c r="E159" s="23">
        <v>449.36</v>
      </c>
      <c r="F159" s="23">
        <v>4</v>
      </c>
      <c r="G159" s="23">
        <f t="shared" si="42"/>
        <v>112.34</v>
      </c>
      <c r="H159" s="15">
        <v>8</v>
      </c>
      <c r="I159" s="15">
        <v>9</v>
      </c>
      <c r="J159" s="15">
        <f t="shared" si="45"/>
        <v>18</v>
      </c>
      <c r="K159" s="15">
        <f t="shared" si="46"/>
        <v>19</v>
      </c>
      <c r="L159" s="15">
        <v>-5.93</v>
      </c>
      <c r="M159" s="15">
        <v>7.03</v>
      </c>
      <c r="N159" s="36">
        <f t="shared" si="43"/>
        <v>0.84352773826458027</v>
      </c>
      <c r="O159" s="15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x14ac:dyDescent="0.15">
      <c r="A160" s="23">
        <v>23</v>
      </c>
      <c r="B160" s="17">
        <f>B159+1</f>
        <v>2</v>
      </c>
      <c r="C160" s="23">
        <f t="shared" si="47"/>
        <v>5</v>
      </c>
      <c r="D160" s="23">
        <f t="shared" si="48"/>
        <v>8</v>
      </c>
      <c r="E160" s="23">
        <v>415.6</v>
      </c>
      <c r="F160" s="23">
        <v>5.41</v>
      </c>
      <c r="G160" s="23">
        <f t="shared" si="42"/>
        <v>76.820702402957494</v>
      </c>
      <c r="H160" s="15">
        <v>8</v>
      </c>
      <c r="I160" s="15">
        <v>9</v>
      </c>
      <c r="J160" s="15">
        <f t="shared" si="45"/>
        <v>19</v>
      </c>
      <c r="K160" s="15">
        <f t="shared" si="46"/>
        <v>20</v>
      </c>
      <c r="L160" s="15">
        <v>-4.74</v>
      </c>
      <c r="M160" s="15">
        <v>7.11</v>
      </c>
      <c r="N160" s="36">
        <f t="shared" si="43"/>
        <v>0.66666666666666663</v>
      </c>
      <c r="O160" s="15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x14ac:dyDescent="0.15">
      <c r="A161" s="23">
        <v>23</v>
      </c>
      <c r="B161" s="17">
        <f>B160+1</f>
        <v>3</v>
      </c>
      <c r="C161" s="23">
        <f t="shared" si="47"/>
        <v>7</v>
      </c>
      <c r="D161" s="23">
        <f t="shared" si="48"/>
        <v>11</v>
      </c>
      <c r="E161" s="23">
        <v>334.54</v>
      </c>
      <c r="F161" s="23">
        <v>5.59</v>
      </c>
      <c r="G161" s="23">
        <f t="shared" si="42"/>
        <v>59.846153846153854</v>
      </c>
      <c r="H161" s="15">
        <v>8</v>
      </c>
      <c r="I161" s="15">
        <v>9</v>
      </c>
      <c r="J161" s="15">
        <f t="shared" si="45"/>
        <v>20</v>
      </c>
      <c r="K161" s="15">
        <f t="shared" si="46"/>
        <v>21</v>
      </c>
      <c r="L161" s="15">
        <v>-4.26</v>
      </c>
      <c r="M161" s="15">
        <v>7.03</v>
      </c>
      <c r="N161" s="36">
        <f t="shared" si="43"/>
        <v>0.60597439544807963</v>
      </c>
      <c r="O161" s="15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x14ac:dyDescent="0.15">
      <c r="A162" s="23">
        <v>23</v>
      </c>
      <c r="B162" s="17">
        <f>B161+1</f>
        <v>4</v>
      </c>
      <c r="C162" s="23">
        <f t="shared" si="47"/>
        <v>9</v>
      </c>
      <c r="D162" s="23">
        <f t="shared" si="48"/>
        <v>14</v>
      </c>
      <c r="E162" s="23">
        <v>209.34</v>
      </c>
      <c r="F162" s="23">
        <v>4.62</v>
      </c>
      <c r="G162" s="23">
        <f t="shared" si="42"/>
        <v>45.311688311688314</v>
      </c>
      <c r="H162" s="15">
        <v>8</v>
      </c>
      <c r="I162" s="15">
        <v>9</v>
      </c>
      <c r="J162" s="15">
        <f t="shared" si="45"/>
        <v>21</v>
      </c>
      <c r="K162" s="15">
        <f t="shared" si="46"/>
        <v>22</v>
      </c>
      <c r="L162" s="15">
        <v>-4.55</v>
      </c>
      <c r="M162" s="15">
        <v>6.77</v>
      </c>
      <c r="N162" s="36">
        <f t="shared" si="43"/>
        <v>0.67208271787296903</v>
      </c>
      <c r="O162" s="15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x14ac:dyDescent="0.15">
      <c r="A163" s="23">
        <v>23</v>
      </c>
      <c r="B163" s="17">
        <f>B162+1</f>
        <v>5</v>
      </c>
      <c r="C163" s="23">
        <f t="shared" si="47"/>
        <v>11</v>
      </c>
      <c r="D163" s="23">
        <f t="shared" si="48"/>
        <v>17</v>
      </c>
      <c r="E163" s="23">
        <v>189.86</v>
      </c>
      <c r="F163" s="23">
        <v>5.96</v>
      </c>
      <c r="G163" s="23">
        <f t="shared" si="42"/>
        <v>31.855704697986578</v>
      </c>
      <c r="H163" s="15">
        <v>8</v>
      </c>
      <c r="I163" s="15">
        <v>9</v>
      </c>
      <c r="J163" s="15">
        <f t="shared" si="45"/>
        <v>22</v>
      </c>
      <c r="K163" s="15">
        <f t="shared" si="46"/>
        <v>23</v>
      </c>
      <c r="L163" s="15">
        <v>-4.6500000000000004</v>
      </c>
      <c r="M163" s="15">
        <v>6.64</v>
      </c>
      <c r="N163" s="36">
        <f t="shared" si="43"/>
        <v>0.70030120481927716</v>
      </c>
      <c r="O163" s="15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x14ac:dyDescent="0.15">
      <c r="A164" s="23">
        <v>23</v>
      </c>
      <c r="B164" s="17">
        <f>B163+1</f>
        <v>6</v>
      </c>
      <c r="C164" s="23">
        <f t="shared" si="47"/>
        <v>13</v>
      </c>
      <c r="D164" s="23">
        <f t="shared" si="48"/>
        <v>20</v>
      </c>
      <c r="E164" s="23">
        <v>92.68</v>
      </c>
      <c r="F164" s="23">
        <v>5.47</v>
      </c>
      <c r="G164" s="23">
        <f t="shared" si="42"/>
        <v>16.94332723948812</v>
      </c>
      <c r="H164" s="15">
        <v>8</v>
      </c>
      <c r="I164" s="15">
        <v>9</v>
      </c>
      <c r="J164" s="15">
        <f t="shared" si="45"/>
        <v>23</v>
      </c>
      <c r="K164" s="15">
        <f t="shared" si="46"/>
        <v>24</v>
      </c>
      <c r="L164" s="15">
        <v>-5.99</v>
      </c>
      <c r="M164" s="15">
        <v>6.54</v>
      </c>
      <c r="N164" s="36">
        <f t="shared" si="43"/>
        <v>0.91590214067278286</v>
      </c>
      <c r="O164" s="15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x14ac:dyDescent="0.15">
      <c r="A165" s="23">
        <v>24</v>
      </c>
      <c r="B165" s="17">
        <v>1</v>
      </c>
      <c r="C165" s="23">
        <v>2</v>
      </c>
      <c r="D165" s="23">
        <f>C165+1</f>
        <v>3</v>
      </c>
      <c r="E165" s="23">
        <v>1286.55</v>
      </c>
      <c r="F165" s="23">
        <v>5.77</v>
      </c>
      <c r="G165" s="23">
        <f t="shared" si="42"/>
        <v>222.97227036395148</v>
      </c>
      <c r="H165" s="15">
        <v>8</v>
      </c>
      <c r="I165" s="15">
        <v>9</v>
      </c>
      <c r="J165" s="15">
        <f>J164+1</f>
        <v>24</v>
      </c>
      <c r="K165" s="15">
        <v>1</v>
      </c>
      <c r="L165" s="15">
        <v>-7</v>
      </c>
      <c r="M165" s="15">
        <v>6.44</v>
      </c>
      <c r="N165" s="36">
        <f t="shared" si="43"/>
        <v>1.0869565217391304</v>
      </c>
      <c r="O165" s="15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x14ac:dyDescent="0.15">
      <c r="A166" s="23">
        <v>24</v>
      </c>
      <c r="B166" s="17">
        <f t="shared" ref="B166:B171" si="49">B165+1</f>
        <v>2</v>
      </c>
      <c r="C166" s="23">
        <f t="shared" ref="C166:C171" si="50">C165+2</f>
        <v>4</v>
      </c>
      <c r="D166" s="23">
        <f t="shared" ref="D166:D171" si="51">D165+3</f>
        <v>6</v>
      </c>
      <c r="E166" s="23">
        <v>670.83</v>
      </c>
      <c r="F166" s="23">
        <v>6.25</v>
      </c>
      <c r="G166" s="23">
        <f t="shared" si="42"/>
        <v>107.33280000000001</v>
      </c>
      <c r="H166" s="15">
        <v>8</v>
      </c>
      <c r="I166" s="15">
        <v>9</v>
      </c>
      <c r="J166" s="15">
        <v>1</v>
      </c>
      <c r="K166" s="15">
        <f t="shared" ref="K166:K171" si="52">K165+1</f>
        <v>2</v>
      </c>
      <c r="L166" s="15">
        <v>-11.13</v>
      </c>
      <c r="M166" s="15">
        <v>6.73</v>
      </c>
      <c r="N166" s="36">
        <f t="shared" si="43"/>
        <v>1.6537890044576524</v>
      </c>
      <c r="O166" s="15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x14ac:dyDescent="0.15">
      <c r="A167" s="23">
        <v>24</v>
      </c>
      <c r="B167" s="17">
        <f t="shared" si="49"/>
        <v>3</v>
      </c>
      <c r="C167" s="23">
        <f t="shared" si="50"/>
        <v>6</v>
      </c>
      <c r="D167" s="23">
        <f t="shared" si="51"/>
        <v>9</v>
      </c>
      <c r="E167" s="23">
        <v>433.77</v>
      </c>
      <c r="F167" s="23">
        <v>5.58</v>
      </c>
      <c r="G167" s="23">
        <f t="shared" si="42"/>
        <v>77.736559139784944</v>
      </c>
      <c r="H167" s="15">
        <v>8</v>
      </c>
      <c r="I167" s="15">
        <v>9</v>
      </c>
      <c r="J167" s="15">
        <f>J166+1</f>
        <v>2</v>
      </c>
      <c r="K167" s="15">
        <f t="shared" si="52"/>
        <v>3</v>
      </c>
      <c r="L167" s="15">
        <v>-15.4</v>
      </c>
      <c r="M167" s="15">
        <v>6.89</v>
      </c>
      <c r="N167" s="36">
        <f t="shared" si="43"/>
        <v>2.2351233671988391</v>
      </c>
      <c r="O167" s="15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x14ac:dyDescent="0.15">
      <c r="A168" s="23">
        <v>24</v>
      </c>
      <c r="B168" s="17">
        <f t="shared" si="49"/>
        <v>4</v>
      </c>
      <c r="C168" s="23">
        <f t="shared" si="50"/>
        <v>8</v>
      </c>
      <c r="D168" s="23">
        <f t="shared" si="51"/>
        <v>12</v>
      </c>
      <c r="E168" s="23">
        <v>389.33</v>
      </c>
      <c r="F168" s="23">
        <v>6.5</v>
      </c>
      <c r="G168" s="23">
        <f t="shared" si="42"/>
        <v>59.896923076923073</v>
      </c>
      <c r="H168" s="15">
        <v>8</v>
      </c>
      <c r="I168" s="15">
        <v>9</v>
      </c>
      <c r="J168" s="15">
        <f>J167+1</f>
        <v>3</v>
      </c>
      <c r="K168" s="15">
        <f t="shared" si="52"/>
        <v>4</v>
      </c>
      <c r="L168" s="15">
        <v>-25.56</v>
      </c>
      <c r="M168" s="15">
        <v>6.95</v>
      </c>
      <c r="N168" s="36">
        <f t="shared" si="43"/>
        <v>3.6776978417266184</v>
      </c>
      <c r="O168" s="15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x14ac:dyDescent="0.15">
      <c r="A169" s="23">
        <v>24</v>
      </c>
      <c r="B169" s="17">
        <f t="shared" si="49"/>
        <v>5</v>
      </c>
      <c r="C169" s="23">
        <f t="shared" si="50"/>
        <v>10</v>
      </c>
      <c r="D169" s="23">
        <f t="shared" si="51"/>
        <v>15</v>
      </c>
      <c r="E169" s="23">
        <v>160.18</v>
      </c>
      <c r="F169" s="23">
        <v>3.68</v>
      </c>
      <c r="G169" s="23">
        <f t="shared" si="42"/>
        <v>43.527173913043477</v>
      </c>
      <c r="H169" s="15">
        <v>8</v>
      </c>
      <c r="I169" s="15">
        <v>9</v>
      </c>
      <c r="J169" s="15">
        <f>J168+1</f>
        <v>4</v>
      </c>
      <c r="K169" s="15">
        <f t="shared" si="52"/>
        <v>5</v>
      </c>
      <c r="L169" s="15">
        <v>-46.95</v>
      </c>
      <c r="M169" s="15">
        <v>7.09</v>
      </c>
      <c r="N169" s="36">
        <f t="shared" si="43"/>
        <v>6.6220028208744717</v>
      </c>
      <c r="O169" s="15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x14ac:dyDescent="0.15">
      <c r="A170" s="23">
        <v>24</v>
      </c>
      <c r="B170" s="17">
        <f t="shared" si="49"/>
        <v>6</v>
      </c>
      <c r="C170" s="23">
        <f t="shared" si="50"/>
        <v>12</v>
      </c>
      <c r="D170" s="23">
        <f t="shared" si="51"/>
        <v>18</v>
      </c>
      <c r="E170" s="23">
        <v>189.51</v>
      </c>
      <c r="F170" s="23">
        <v>6.06</v>
      </c>
      <c r="G170" s="23">
        <f t="shared" si="42"/>
        <v>31.272277227722771</v>
      </c>
      <c r="H170" s="15">
        <v>8</v>
      </c>
      <c r="I170" s="15">
        <v>9</v>
      </c>
      <c r="J170" s="15">
        <f>J169+1</f>
        <v>5</v>
      </c>
      <c r="K170" s="15">
        <f t="shared" si="52"/>
        <v>6</v>
      </c>
      <c r="L170" s="15">
        <v>-108.12</v>
      </c>
      <c r="M170" s="15">
        <v>6.85</v>
      </c>
      <c r="N170" s="36">
        <f t="shared" si="43"/>
        <v>15.783941605839418</v>
      </c>
      <c r="O170" s="15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x14ac:dyDescent="0.15">
      <c r="A171" s="23">
        <v>24</v>
      </c>
      <c r="B171" s="17">
        <f t="shared" si="49"/>
        <v>7</v>
      </c>
      <c r="C171" s="23">
        <f t="shared" si="50"/>
        <v>14</v>
      </c>
      <c r="D171" s="23">
        <f t="shared" si="51"/>
        <v>21</v>
      </c>
      <c r="E171" s="23">
        <v>77.91</v>
      </c>
      <c r="F171" s="23">
        <v>4.8</v>
      </c>
      <c r="G171" s="23">
        <f t="shared" si="42"/>
        <v>16.231249999999999</v>
      </c>
      <c r="H171" s="15">
        <v>8</v>
      </c>
      <c r="I171" s="15">
        <v>9</v>
      </c>
      <c r="J171" s="15">
        <f>J170+1</f>
        <v>6</v>
      </c>
      <c r="K171" s="15">
        <f t="shared" si="52"/>
        <v>7</v>
      </c>
      <c r="L171" s="15">
        <v>-496.56</v>
      </c>
      <c r="M171" s="15">
        <v>7.23</v>
      </c>
      <c r="N171" s="36">
        <f t="shared" si="43"/>
        <v>68.680497925311201</v>
      </c>
      <c r="O171" s="15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x14ac:dyDescent="0.15">
      <c r="A172" s="23"/>
      <c r="B172" s="23"/>
      <c r="C172" s="23"/>
      <c r="D172" s="23"/>
      <c r="E172" s="23"/>
      <c r="F172" s="23"/>
      <c r="G172" s="23"/>
      <c r="H172" s="15">
        <v>9</v>
      </c>
      <c r="I172" s="15">
        <v>10</v>
      </c>
      <c r="J172" s="15">
        <f>I172+1</f>
        <v>11</v>
      </c>
      <c r="K172" s="15">
        <f>J172+1</f>
        <v>12</v>
      </c>
      <c r="L172" s="15">
        <v>-471.6</v>
      </c>
      <c r="M172" s="15">
        <v>6.93</v>
      </c>
      <c r="N172" s="36">
        <f t="shared" si="43"/>
        <v>68.05194805194806</v>
      </c>
      <c r="O172" s="15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x14ac:dyDescent="0.15">
      <c r="A173" s="23"/>
      <c r="B173" s="23"/>
      <c r="C173" s="23"/>
      <c r="D173" s="23"/>
      <c r="E173" s="23"/>
      <c r="F173" s="23"/>
      <c r="G173" s="23"/>
      <c r="H173" s="15">
        <v>9</v>
      </c>
      <c r="I173" s="15">
        <v>10</v>
      </c>
      <c r="J173" s="15">
        <f t="shared" ref="J173:J184" si="53">J172+1</f>
        <v>12</v>
      </c>
      <c r="K173" s="15">
        <f t="shared" ref="K173:K184" si="54">K172+1</f>
        <v>13</v>
      </c>
      <c r="L173" s="15">
        <v>-113.72</v>
      </c>
      <c r="M173" s="15">
        <v>7.05</v>
      </c>
      <c r="N173" s="36">
        <f t="shared" si="43"/>
        <v>16.130496453900708</v>
      </c>
      <c r="O173" s="15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x14ac:dyDescent="0.15">
      <c r="A174" s="23"/>
      <c r="B174" s="23"/>
      <c r="C174" s="23"/>
      <c r="D174" s="23"/>
      <c r="E174" s="23"/>
      <c r="F174" s="23"/>
      <c r="G174" s="23"/>
      <c r="H174" s="15">
        <v>9</v>
      </c>
      <c r="I174" s="15">
        <v>10</v>
      </c>
      <c r="J174" s="15">
        <f t="shared" si="53"/>
        <v>13</v>
      </c>
      <c r="K174" s="15">
        <f t="shared" si="54"/>
        <v>14</v>
      </c>
      <c r="L174" s="15">
        <v>-48.96</v>
      </c>
      <c r="M174" s="15">
        <v>7.14</v>
      </c>
      <c r="N174" s="36">
        <f t="shared" si="43"/>
        <v>6.8571428571428577</v>
      </c>
      <c r="O174" s="15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x14ac:dyDescent="0.15">
      <c r="A175" s="23"/>
      <c r="B175" s="23"/>
      <c r="C175" s="23"/>
      <c r="D175" s="23"/>
      <c r="E175" s="23"/>
      <c r="F175" s="23"/>
      <c r="G175" s="23"/>
      <c r="H175" s="15">
        <v>9</v>
      </c>
      <c r="I175" s="15">
        <v>10</v>
      </c>
      <c r="J175" s="15">
        <f t="shared" si="53"/>
        <v>14</v>
      </c>
      <c r="K175" s="15">
        <f t="shared" si="54"/>
        <v>15</v>
      </c>
      <c r="L175" s="15">
        <v>-37.94</v>
      </c>
      <c r="M175" s="15">
        <v>7.08</v>
      </c>
      <c r="N175" s="36">
        <f t="shared" si="43"/>
        <v>5.3587570621468918</v>
      </c>
      <c r="O175" s="15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x14ac:dyDescent="0.15">
      <c r="A176" s="23"/>
      <c r="B176" s="23"/>
      <c r="C176" s="23"/>
      <c r="D176" s="23"/>
      <c r="E176" s="23"/>
      <c r="F176" s="23"/>
      <c r="G176" s="23"/>
      <c r="H176" s="15">
        <v>9</v>
      </c>
      <c r="I176" s="15">
        <v>10</v>
      </c>
      <c r="J176" s="15">
        <f t="shared" si="53"/>
        <v>15</v>
      </c>
      <c r="K176" s="15">
        <f t="shared" si="54"/>
        <v>16</v>
      </c>
      <c r="L176" s="15">
        <v>-11.11</v>
      </c>
      <c r="M176" s="15">
        <v>6.83</v>
      </c>
      <c r="N176" s="36">
        <f t="shared" si="43"/>
        <v>1.6266471449487554</v>
      </c>
      <c r="O176" s="15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x14ac:dyDescent="0.15">
      <c r="A177" s="23"/>
      <c r="B177" s="23"/>
      <c r="C177" s="23"/>
      <c r="D177" s="23"/>
      <c r="E177" s="23"/>
      <c r="F177" s="23"/>
      <c r="G177" s="23"/>
      <c r="H177" s="15">
        <v>9</v>
      </c>
      <c r="I177" s="15">
        <v>10</v>
      </c>
      <c r="J177" s="15">
        <f t="shared" si="53"/>
        <v>16</v>
      </c>
      <c r="K177" s="15">
        <f t="shared" si="54"/>
        <v>17</v>
      </c>
      <c r="L177" s="15">
        <v>-12.38</v>
      </c>
      <c r="M177" s="15">
        <v>6.85</v>
      </c>
      <c r="N177" s="36">
        <f t="shared" si="43"/>
        <v>1.8072992700729928</v>
      </c>
      <c r="O177" s="15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x14ac:dyDescent="0.15">
      <c r="A178" s="23"/>
      <c r="B178" s="23"/>
      <c r="C178" s="23"/>
      <c r="D178" s="23"/>
      <c r="E178" s="23"/>
      <c r="F178" s="23"/>
      <c r="G178" s="23"/>
      <c r="H178" s="15">
        <v>9</v>
      </c>
      <c r="I178" s="15">
        <v>10</v>
      </c>
      <c r="J178" s="15">
        <f t="shared" si="53"/>
        <v>17</v>
      </c>
      <c r="K178" s="15">
        <f t="shared" si="54"/>
        <v>18</v>
      </c>
      <c r="L178" s="22">
        <v>-7.76</v>
      </c>
      <c r="M178" s="22">
        <v>6.19</v>
      </c>
      <c r="N178" s="36">
        <f t="shared" si="43"/>
        <v>1.2536348949919223</v>
      </c>
      <c r="O178" s="15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x14ac:dyDescent="0.15">
      <c r="A179" s="23"/>
      <c r="B179" s="23"/>
      <c r="C179" s="23"/>
      <c r="D179" s="23"/>
      <c r="E179" s="23"/>
      <c r="F179" s="23"/>
      <c r="G179" s="23"/>
      <c r="H179" s="15">
        <v>9</v>
      </c>
      <c r="I179" s="15">
        <v>10</v>
      </c>
      <c r="J179" s="15">
        <f t="shared" si="53"/>
        <v>18</v>
      </c>
      <c r="K179" s="15">
        <f t="shared" si="54"/>
        <v>19</v>
      </c>
      <c r="L179" s="15">
        <v>-6.19</v>
      </c>
      <c r="M179" s="15">
        <v>6.24</v>
      </c>
      <c r="N179" s="36">
        <f t="shared" si="43"/>
        <v>0.99198717948717952</v>
      </c>
      <c r="O179" s="15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x14ac:dyDescent="0.15">
      <c r="A180" s="23"/>
      <c r="B180" s="23"/>
      <c r="C180" s="23"/>
      <c r="D180" s="23"/>
      <c r="E180" s="23"/>
      <c r="F180" s="23"/>
      <c r="G180" s="23"/>
      <c r="H180" s="15">
        <v>9</v>
      </c>
      <c r="I180" s="15">
        <v>10</v>
      </c>
      <c r="J180" s="15">
        <f t="shared" si="53"/>
        <v>19</v>
      </c>
      <c r="K180" s="15">
        <f t="shared" si="54"/>
        <v>20</v>
      </c>
      <c r="L180" s="15">
        <v>-4.68</v>
      </c>
      <c r="M180" s="15">
        <v>6.32</v>
      </c>
      <c r="N180" s="36">
        <f t="shared" si="43"/>
        <v>0.740506329113924</v>
      </c>
      <c r="O180" s="15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x14ac:dyDescent="0.15">
      <c r="A181" s="23"/>
      <c r="B181" s="23"/>
      <c r="C181" s="23"/>
      <c r="D181" s="23"/>
      <c r="E181" s="23"/>
      <c r="F181" s="23"/>
      <c r="G181" s="23"/>
      <c r="H181" s="15">
        <v>9</v>
      </c>
      <c r="I181" s="15">
        <v>10</v>
      </c>
      <c r="J181" s="15">
        <f t="shared" si="53"/>
        <v>20</v>
      </c>
      <c r="K181" s="15">
        <f t="shared" si="54"/>
        <v>21</v>
      </c>
      <c r="L181" s="15">
        <v>-5.19</v>
      </c>
      <c r="M181" s="15">
        <v>6.45</v>
      </c>
      <c r="N181" s="36">
        <f t="shared" si="43"/>
        <v>0.8046511627906977</v>
      </c>
      <c r="O181" s="15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x14ac:dyDescent="0.15">
      <c r="A182" s="23"/>
      <c r="B182" s="23"/>
      <c r="C182" s="23"/>
      <c r="D182" s="23"/>
      <c r="E182" s="23"/>
      <c r="F182" s="23"/>
      <c r="G182" s="23"/>
      <c r="H182" s="15">
        <v>9</v>
      </c>
      <c r="I182" s="15">
        <v>10</v>
      </c>
      <c r="J182" s="15">
        <f t="shared" si="53"/>
        <v>21</v>
      </c>
      <c r="K182" s="15">
        <f t="shared" si="54"/>
        <v>22</v>
      </c>
      <c r="L182" s="15">
        <v>-4.12</v>
      </c>
      <c r="M182" s="15">
        <v>6.21</v>
      </c>
      <c r="N182" s="36">
        <f t="shared" si="43"/>
        <v>0.66344605475040264</v>
      </c>
      <c r="O182" s="15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x14ac:dyDescent="0.15">
      <c r="A183" s="23"/>
      <c r="B183" s="23"/>
      <c r="C183" s="23"/>
      <c r="D183" s="23"/>
      <c r="E183" s="23"/>
      <c r="F183" s="23"/>
      <c r="G183" s="23"/>
      <c r="H183" s="15">
        <v>9</v>
      </c>
      <c r="I183" s="15">
        <v>10</v>
      </c>
      <c r="J183" s="15">
        <f t="shared" si="53"/>
        <v>22</v>
      </c>
      <c r="K183" s="15">
        <f t="shared" si="54"/>
        <v>23</v>
      </c>
      <c r="L183" s="15">
        <v>-4.6399999999999997</v>
      </c>
      <c r="M183" s="15">
        <v>6.34</v>
      </c>
      <c r="N183" s="36">
        <f t="shared" si="43"/>
        <v>0.73186119873817035</v>
      </c>
      <c r="O183" s="15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x14ac:dyDescent="0.15">
      <c r="A184" s="23"/>
      <c r="B184" s="23"/>
      <c r="C184" s="23"/>
      <c r="D184" s="23"/>
      <c r="E184" s="23"/>
      <c r="F184" s="23"/>
      <c r="G184" s="23"/>
      <c r="H184" s="15">
        <v>9</v>
      </c>
      <c r="I184" s="15">
        <v>10</v>
      </c>
      <c r="J184" s="15">
        <f t="shared" si="53"/>
        <v>23</v>
      </c>
      <c r="K184" s="15">
        <f t="shared" si="54"/>
        <v>24</v>
      </c>
      <c r="L184" s="15">
        <v>-5.1100000000000003</v>
      </c>
      <c r="M184" s="15">
        <v>6.36</v>
      </c>
      <c r="N184" s="36">
        <f t="shared" si="43"/>
        <v>0.80345911949685533</v>
      </c>
      <c r="O184" s="15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x14ac:dyDescent="0.15">
      <c r="A185" s="23"/>
      <c r="B185" s="23"/>
      <c r="C185" s="23"/>
      <c r="D185" s="23"/>
      <c r="E185" s="23"/>
      <c r="F185" s="23"/>
      <c r="G185" s="23"/>
      <c r="H185" s="15">
        <v>9</v>
      </c>
      <c r="I185" s="15">
        <v>10</v>
      </c>
      <c r="J185" s="15">
        <f>J184+1</f>
        <v>24</v>
      </c>
      <c r="K185" s="15">
        <v>1</v>
      </c>
      <c r="L185" s="15">
        <v>-5.94</v>
      </c>
      <c r="M185" s="15">
        <v>6.31</v>
      </c>
      <c r="N185" s="36">
        <f t="shared" si="43"/>
        <v>0.94136291600633926</v>
      </c>
      <c r="O185" s="15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x14ac:dyDescent="0.15">
      <c r="A186" s="23"/>
      <c r="B186" s="23"/>
      <c r="C186" s="23"/>
      <c r="D186" s="23"/>
      <c r="E186" s="23"/>
      <c r="F186" s="23"/>
      <c r="G186" s="23"/>
      <c r="H186" s="15">
        <v>9</v>
      </c>
      <c r="I186" s="15">
        <v>10</v>
      </c>
      <c r="J186" s="15">
        <v>1</v>
      </c>
      <c r="K186" s="15">
        <f t="shared" ref="K186:K192" si="55">K185+1</f>
        <v>2</v>
      </c>
      <c r="L186" s="15">
        <v>-8.3800000000000008</v>
      </c>
      <c r="M186" s="15">
        <v>7.05</v>
      </c>
      <c r="N186" s="36">
        <f t="shared" si="43"/>
        <v>1.1886524822695037</v>
      </c>
      <c r="O186" s="15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x14ac:dyDescent="0.15">
      <c r="A187" s="23"/>
      <c r="B187" s="23"/>
      <c r="C187" s="23"/>
      <c r="D187" s="23"/>
      <c r="E187" s="23"/>
      <c r="F187" s="23"/>
      <c r="G187" s="23"/>
      <c r="H187" s="15">
        <v>9</v>
      </c>
      <c r="I187" s="15">
        <v>10</v>
      </c>
      <c r="J187" s="15">
        <f t="shared" ref="J187:J192" si="56">J186+1</f>
        <v>2</v>
      </c>
      <c r="K187" s="15">
        <f t="shared" si="55"/>
        <v>3</v>
      </c>
      <c r="L187" s="15">
        <v>-11.09</v>
      </c>
      <c r="M187" s="15">
        <v>7.18</v>
      </c>
      <c r="N187" s="36">
        <f t="shared" si="43"/>
        <v>1.5445682451253482</v>
      </c>
      <c r="O187" s="15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x14ac:dyDescent="0.15">
      <c r="A188" s="23"/>
      <c r="B188" s="23"/>
      <c r="C188" s="23"/>
      <c r="D188" s="23"/>
      <c r="E188" s="23"/>
      <c r="F188" s="23"/>
      <c r="G188" s="23"/>
      <c r="H188" s="15">
        <v>9</v>
      </c>
      <c r="I188" s="15">
        <v>10</v>
      </c>
      <c r="J188" s="15">
        <f t="shared" si="56"/>
        <v>3</v>
      </c>
      <c r="K188" s="15">
        <f t="shared" si="55"/>
        <v>4</v>
      </c>
      <c r="L188" s="15">
        <v>-16.73</v>
      </c>
      <c r="M188" s="15">
        <v>7.19</v>
      </c>
      <c r="N188" s="36">
        <f t="shared" si="43"/>
        <v>2.3268428372739915</v>
      </c>
      <c r="O188" s="15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x14ac:dyDescent="0.15">
      <c r="A189" s="23"/>
      <c r="B189" s="23"/>
      <c r="C189" s="23"/>
      <c r="D189" s="23"/>
      <c r="E189" s="23"/>
      <c r="F189" s="23"/>
      <c r="G189" s="23"/>
      <c r="H189" s="15">
        <v>9</v>
      </c>
      <c r="I189" s="15">
        <v>10</v>
      </c>
      <c r="J189" s="15">
        <f t="shared" si="56"/>
        <v>4</v>
      </c>
      <c r="K189" s="15">
        <f t="shared" si="55"/>
        <v>5</v>
      </c>
      <c r="L189" s="15">
        <v>-29.79</v>
      </c>
      <c r="M189" s="15">
        <v>7.07</v>
      </c>
      <c r="N189" s="36">
        <f t="shared" si="43"/>
        <v>4.2135785007072135</v>
      </c>
      <c r="O189" s="15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x14ac:dyDescent="0.15">
      <c r="A190" s="23"/>
      <c r="B190" s="23"/>
      <c r="C190" s="23"/>
      <c r="D190" s="23"/>
      <c r="E190" s="23"/>
      <c r="F190" s="23"/>
      <c r="G190" s="23"/>
      <c r="H190" s="15">
        <v>9</v>
      </c>
      <c r="I190" s="15">
        <v>10</v>
      </c>
      <c r="J190" s="15">
        <f t="shared" si="56"/>
        <v>5</v>
      </c>
      <c r="K190" s="15">
        <f t="shared" si="55"/>
        <v>6</v>
      </c>
      <c r="L190" s="15">
        <v>-47.29</v>
      </c>
      <c r="M190" s="15">
        <v>7.09</v>
      </c>
      <c r="N190" s="36">
        <f t="shared" si="43"/>
        <v>6.6699576868829338</v>
      </c>
      <c r="O190" s="15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x14ac:dyDescent="0.15">
      <c r="A191" s="23"/>
      <c r="B191" s="23"/>
      <c r="C191" s="23"/>
      <c r="D191" s="23"/>
      <c r="E191" s="23"/>
      <c r="F191" s="23"/>
      <c r="G191" s="23"/>
      <c r="H191" s="15">
        <v>9</v>
      </c>
      <c r="I191" s="15">
        <v>10</v>
      </c>
      <c r="J191" s="15">
        <f t="shared" si="56"/>
        <v>6</v>
      </c>
      <c r="K191" s="15">
        <f t="shared" si="55"/>
        <v>7</v>
      </c>
      <c r="L191" s="15">
        <v>-128.52000000000001</v>
      </c>
      <c r="M191" s="15">
        <v>7.13</v>
      </c>
      <c r="N191" s="36">
        <f t="shared" si="43"/>
        <v>18.025245441795231</v>
      </c>
      <c r="O191" s="15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x14ac:dyDescent="0.15">
      <c r="A192" s="23"/>
      <c r="B192" s="23"/>
      <c r="C192" s="23"/>
      <c r="D192" s="23"/>
      <c r="E192" s="23"/>
      <c r="F192" s="23"/>
      <c r="G192" s="23"/>
      <c r="H192" s="15">
        <v>9</v>
      </c>
      <c r="I192" s="15">
        <v>10</v>
      </c>
      <c r="J192" s="15">
        <f t="shared" si="56"/>
        <v>7</v>
      </c>
      <c r="K192" s="15">
        <f t="shared" si="55"/>
        <v>8</v>
      </c>
      <c r="L192" s="15">
        <v>-495.61</v>
      </c>
      <c r="M192" s="15">
        <v>7.11</v>
      </c>
      <c r="N192" s="36">
        <f t="shared" si="43"/>
        <v>69.706047819971872</v>
      </c>
      <c r="O192" s="15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x14ac:dyDescent="0.15">
      <c r="A193" s="23"/>
      <c r="B193" s="23"/>
      <c r="C193" s="23"/>
      <c r="D193" s="23"/>
      <c r="E193" s="23"/>
      <c r="F193" s="23"/>
      <c r="G193" s="23"/>
      <c r="H193" s="15">
        <v>10</v>
      </c>
      <c r="I193" s="15">
        <v>11</v>
      </c>
      <c r="J193" s="15">
        <f>I193+1</f>
        <v>12</v>
      </c>
      <c r="K193" s="15">
        <f>J193+1</f>
        <v>13</v>
      </c>
      <c r="L193" s="15">
        <v>-295.95999999999998</v>
      </c>
      <c r="M193" s="15">
        <v>6.03</v>
      </c>
      <c r="N193" s="36">
        <f t="shared" si="43"/>
        <v>49.08126036484245</v>
      </c>
      <c r="O193" s="15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x14ac:dyDescent="0.15">
      <c r="A194" s="23"/>
      <c r="B194" s="23"/>
      <c r="C194" s="23"/>
      <c r="D194" s="23"/>
      <c r="E194" s="23"/>
      <c r="F194" s="23"/>
      <c r="G194" s="23"/>
      <c r="H194" s="15">
        <v>10</v>
      </c>
      <c r="I194" s="15">
        <v>11</v>
      </c>
      <c r="J194" s="15">
        <f t="shared" ref="J194:J204" si="57">J193+1</f>
        <v>13</v>
      </c>
      <c r="K194" s="15">
        <f t="shared" ref="K194:K204" si="58">K193+1</f>
        <v>14</v>
      </c>
      <c r="L194" s="15">
        <v>-78.209999999999994</v>
      </c>
      <c r="M194" s="15">
        <v>6.18</v>
      </c>
      <c r="N194" s="36">
        <f t="shared" si="43"/>
        <v>12.655339805825243</v>
      </c>
      <c r="O194" s="15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x14ac:dyDescent="0.15">
      <c r="A195" s="23"/>
      <c r="B195" s="23"/>
      <c r="C195" s="23"/>
      <c r="D195" s="23"/>
      <c r="E195" s="23"/>
      <c r="F195" s="23"/>
      <c r="G195" s="23"/>
      <c r="H195" s="15">
        <v>10</v>
      </c>
      <c r="I195" s="15">
        <v>11</v>
      </c>
      <c r="J195" s="15">
        <f t="shared" si="57"/>
        <v>14</v>
      </c>
      <c r="K195" s="15">
        <f t="shared" si="58"/>
        <v>15</v>
      </c>
      <c r="L195" s="15">
        <v>-20.93</v>
      </c>
      <c r="M195" s="15">
        <v>6.32</v>
      </c>
      <c r="N195" s="36">
        <f t="shared" si="43"/>
        <v>3.3117088607594933</v>
      </c>
      <c r="O195" s="15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x14ac:dyDescent="0.15">
      <c r="A196" s="23"/>
      <c r="B196" s="23"/>
      <c r="C196" s="23"/>
      <c r="D196" s="23"/>
      <c r="E196" s="23"/>
      <c r="F196" s="23"/>
      <c r="G196" s="23"/>
      <c r="H196" s="15">
        <v>10</v>
      </c>
      <c r="I196" s="15">
        <v>11</v>
      </c>
      <c r="J196" s="15">
        <f t="shared" si="57"/>
        <v>15</v>
      </c>
      <c r="K196" s="15">
        <f t="shared" si="58"/>
        <v>16</v>
      </c>
      <c r="L196" s="15">
        <v>-12.4</v>
      </c>
      <c r="M196" s="15">
        <v>6.31</v>
      </c>
      <c r="N196" s="36">
        <f t="shared" si="43"/>
        <v>1.9651347068145801</v>
      </c>
      <c r="O196" s="15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x14ac:dyDescent="0.15">
      <c r="A197" s="23"/>
      <c r="B197" s="23"/>
      <c r="C197" s="23"/>
      <c r="D197" s="23"/>
      <c r="E197" s="23"/>
      <c r="F197" s="23"/>
      <c r="G197" s="23"/>
      <c r="H197" s="15">
        <v>10</v>
      </c>
      <c r="I197" s="15">
        <v>11</v>
      </c>
      <c r="J197" s="15">
        <f t="shared" si="57"/>
        <v>16</v>
      </c>
      <c r="K197" s="15">
        <f t="shared" si="58"/>
        <v>17</v>
      </c>
      <c r="L197" s="15">
        <v>-14.48</v>
      </c>
      <c r="M197" s="15">
        <v>6.33</v>
      </c>
      <c r="N197" s="36">
        <f t="shared" ref="N197:N260" si="59">-L197/M197</f>
        <v>2.287519747235387</v>
      </c>
      <c r="O197" s="15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x14ac:dyDescent="0.15">
      <c r="A198" s="23"/>
      <c r="B198" s="23"/>
      <c r="C198" s="23"/>
      <c r="D198" s="23"/>
      <c r="E198" s="23"/>
      <c r="F198" s="23"/>
      <c r="G198" s="23"/>
      <c r="H198" s="15">
        <v>10</v>
      </c>
      <c r="I198" s="15">
        <v>11</v>
      </c>
      <c r="J198" s="15">
        <f t="shared" si="57"/>
        <v>17</v>
      </c>
      <c r="K198" s="15">
        <f t="shared" si="58"/>
        <v>18</v>
      </c>
      <c r="L198" s="15">
        <v>-8.9</v>
      </c>
      <c r="M198" s="15">
        <v>5.67</v>
      </c>
      <c r="N198" s="36">
        <f t="shared" si="59"/>
        <v>1.5696649029982364</v>
      </c>
      <c r="O198" s="15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x14ac:dyDescent="0.15">
      <c r="A199" s="23"/>
      <c r="B199" s="23"/>
      <c r="C199" s="23"/>
      <c r="D199" s="23"/>
      <c r="E199" s="23"/>
      <c r="F199" s="23"/>
      <c r="G199" s="23"/>
      <c r="H199" s="15">
        <v>10</v>
      </c>
      <c r="I199" s="15">
        <v>11</v>
      </c>
      <c r="J199" s="15">
        <f t="shared" si="57"/>
        <v>18</v>
      </c>
      <c r="K199" s="15">
        <f t="shared" si="58"/>
        <v>19</v>
      </c>
      <c r="L199" s="15">
        <v>-7.03</v>
      </c>
      <c r="M199" s="15">
        <v>5.74</v>
      </c>
      <c r="N199" s="36">
        <f t="shared" si="59"/>
        <v>1.2247386759581882</v>
      </c>
      <c r="O199" s="15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x14ac:dyDescent="0.15">
      <c r="A200" s="23"/>
      <c r="B200" s="23"/>
      <c r="C200" s="23"/>
      <c r="D200" s="23"/>
      <c r="E200" s="23"/>
      <c r="F200" s="23"/>
      <c r="G200" s="23"/>
      <c r="H200" s="15">
        <v>10</v>
      </c>
      <c r="I200" s="15">
        <v>11</v>
      </c>
      <c r="J200" s="15">
        <f t="shared" si="57"/>
        <v>19</v>
      </c>
      <c r="K200" s="15">
        <f t="shared" si="58"/>
        <v>20</v>
      </c>
      <c r="L200" s="15">
        <v>-5.45</v>
      </c>
      <c r="M200" s="15">
        <v>5.85</v>
      </c>
      <c r="N200" s="36">
        <f t="shared" si="59"/>
        <v>0.93162393162393176</v>
      </c>
      <c r="O200" s="15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x14ac:dyDescent="0.15">
      <c r="A201" s="23"/>
      <c r="B201" s="23"/>
      <c r="C201" s="23"/>
      <c r="D201" s="23"/>
      <c r="E201" s="23"/>
      <c r="F201" s="23"/>
      <c r="G201" s="23"/>
      <c r="H201" s="15">
        <v>10</v>
      </c>
      <c r="I201" s="15">
        <v>11</v>
      </c>
      <c r="J201" s="15">
        <f t="shared" si="57"/>
        <v>20</v>
      </c>
      <c r="K201" s="15">
        <f t="shared" si="58"/>
        <v>21</v>
      </c>
      <c r="L201" s="15">
        <v>-5.47</v>
      </c>
      <c r="M201" s="15">
        <v>5.9</v>
      </c>
      <c r="N201" s="36">
        <f t="shared" si="59"/>
        <v>0.92711864406779654</v>
      </c>
      <c r="O201" s="15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x14ac:dyDescent="0.15">
      <c r="A202" s="23"/>
      <c r="B202" s="23"/>
      <c r="C202" s="23"/>
      <c r="D202" s="23"/>
      <c r="E202" s="23"/>
      <c r="F202" s="23"/>
      <c r="G202" s="23"/>
      <c r="H202" s="15">
        <v>10</v>
      </c>
      <c r="I202" s="15">
        <v>11</v>
      </c>
      <c r="J202" s="15">
        <f t="shared" si="57"/>
        <v>21</v>
      </c>
      <c r="K202" s="15">
        <f t="shared" si="58"/>
        <v>22</v>
      </c>
      <c r="L202" s="15">
        <v>-3.74</v>
      </c>
      <c r="M202" s="15">
        <v>5.74</v>
      </c>
      <c r="N202" s="36">
        <f t="shared" si="59"/>
        <v>0.65156794425087106</v>
      </c>
      <c r="O202" s="15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x14ac:dyDescent="0.15">
      <c r="A203" s="23"/>
      <c r="B203" s="23"/>
      <c r="C203" s="23"/>
      <c r="D203" s="23"/>
      <c r="E203" s="23"/>
      <c r="F203" s="23"/>
      <c r="G203" s="23"/>
      <c r="H203" s="15">
        <v>10</v>
      </c>
      <c r="I203" s="15">
        <v>11</v>
      </c>
      <c r="J203" s="15">
        <f t="shared" si="57"/>
        <v>22</v>
      </c>
      <c r="K203" s="15">
        <f t="shared" si="58"/>
        <v>23</v>
      </c>
      <c r="L203" s="15">
        <v>-3.89</v>
      </c>
      <c r="M203" s="15">
        <v>5.62</v>
      </c>
      <c r="N203" s="36">
        <f t="shared" si="59"/>
        <v>0.69217081850533813</v>
      </c>
      <c r="O203" s="15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x14ac:dyDescent="0.15">
      <c r="A204" s="23"/>
      <c r="B204" s="23"/>
      <c r="C204" s="23"/>
      <c r="D204" s="23"/>
      <c r="E204" s="23"/>
      <c r="F204" s="23"/>
      <c r="G204" s="23"/>
      <c r="H204" s="15">
        <v>10</v>
      </c>
      <c r="I204" s="15">
        <v>11</v>
      </c>
      <c r="J204" s="15">
        <f t="shared" si="57"/>
        <v>23</v>
      </c>
      <c r="K204" s="15">
        <f t="shared" si="58"/>
        <v>24</v>
      </c>
      <c r="L204" s="15">
        <v>-2.5499999999999998</v>
      </c>
      <c r="M204" s="15">
        <v>5.42</v>
      </c>
      <c r="N204" s="36">
        <f t="shared" si="59"/>
        <v>0.47047970479704793</v>
      </c>
      <c r="O204" s="15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x14ac:dyDescent="0.15">
      <c r="A205" s="15"/>
      <c r="B205" s="15"/>
      <c r="C205" s="15"/>
      <c r="D205" s="15"/>
      <c r="E205" s="15"/>
      <c r="F205" s="15"/>
      <c r="G205" s="23"/>
      <c r="H205" s="15">
        <v>10</v>
      </c>
      <c r="I205" s="15">
        <v>11</v>
      </c>
      <c r="J205" s="15">
        <f>J204+1</f>
        <v>24</v>
      </c>
      <c r="K205" s="15">
        <v>1</v>
      </c>
      <c r="L205" s="15">
        <v>-3.78</v>
      </c>
      <c r="M205" s="15">
        <v>5.64</v>
      </c>
      <c r="N205" s="36">
        <f t="shared" si="59"/>
        <v>0.67021276595744683</v>
      </c>
      <c r="O205" s="15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x14ac:dyDescent="0.15">
      <c r="A206" s="15"/>
      <c r="B206" s="15"/>
      <c r="C206" s="15"/>
      <c r="D206" s="15"/>
      <c r="E206" s="15"/>
      <c r="F206" s="15"/>
      <c r="G206" s="23"/>
      <c r="H206" s="15">
        <v>10</v>
      </c>
      <c r="I206" s="15">
        <v>11</v>
      </c>
      <c r="J206" s="15">
        <v>1</v>
      </c>
      <c r="K206" s="15">
        <f t="shared" ref="K206:K213" si="60">K205+1</f>
        <v>2</v>
      </c>
      <c r="L206" s="15">
        <v>-5.53</v>
      </c>
      <c r="M206" s="15">
        <v>6.17</v>
      </c>
      <c r="N206" s="36">
        <f t="shared" si="59"/>
        <v>0.89627228525121561</v>
      </c>
      <c r="O206" s="15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x14ac:dyDescent="0.15">
      <c r="A207" s="15"/>
      <c r="B207" s="15"/>
      <c r="C207" s="15"/>
      <c r="D207" s="15"/>
      <c r="E207" s="15"/>
      <c r="F207" s="15"/>
      <c r="G207" s="23"/>
      <c r="H207" s="15">
        <v>10</v>
      </c>
      <c r="I207" s="15">
        <v>11</v>
      </c>
      <c r="J207" s="15">
        <f t="shared" ref="J207:J213" si="61">J206+1</f>
        <v>2</v>
      </c>
      <c r="K207" s="15">
        <f t="shared" si="60"/>
        <v>3</v>
      </c>
      <c r="L207" s="15">
        <v>-7.52</v>
      </c>
      <c r="M207" s="15">
        <v>6.77</v>
      </c>
      <c r="N207" s="36">
        <f t="shared" si="59"/>
        <v>1.1107828655834564</v>
      </c>
      <c r="O207" s="15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x14ac:dyDescent="0.15">
      <c r="A208" s="15"/>
      <c r="B208" s="15"/>
      <c r="C208" s="15"/>
      <c r="D208" s="15"/>
      <c r="E208" s="15"/>
      <c r="F208" s="15"/>
      <c r="G208" s="23"/>
      <c r="H208" s="15">
        <v>10</v>
      </c>
      <c r="I208" s="15">
        <v>11</v>
      </c>
      <c r="J208" s="15">
        <f t="shared" si="61"/>
        <v>3</v>
      </c>
      <c r="K208" s="15">
        <f t="shared" si="60"/>
        <v>4</v>
      </c>
      <c r="L208" s="15">
        <v>-9.5500000000000007</v>
      </c>
      <c r="M208" s="15">
        <v>6.3</v>
      </c>
      <c r="N208" s="36">
        <f t="shared" si="59"/>
        <v>1.515873015873016</v>
      </c>
      <c r="O208" s="15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x14ac:dyDescent="0.15">
      <c r="A209" s="15"/>
      <c r="B209" s="15"/>
      <c r="C209" s="15"/>
      <c r="D209" s="15"/>
      <c r="E209" s="15"/>
      <c r="F209" s="15"/>
      <c r="G209" s="23"/>
      <c r="H209" s="15">
        <v>10</v>
      </c>
      <c r="I209" s="15">
        <v>11</v>
      </c>
      <c r="J209" s="15">
        <f t="shared" si="61"/>
        <v>4</v>
      </c>
      <c r="K209" s="15">
        <f t="shared" si="60"/>
        <v>5</v>
      </c>
      <c r="L209" s="15">
        <v>-10.84</v>
      </c>
      <c r="M209" s="15">
        <v>6.37</v>
      </c>
      <c r="N209" s="36">
        <f t="shared" si="59"/>
        <v>1.7017268445839875</v>
      </c>
      <c r="O209" s="15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x14ac:dyDescent="0.15">
      <c r="A210" s="15"/>
      <c r="B210" s="15"/>
      <c r="C210" s="15"/>
      <c r="D210" s="15"/>
      <c r="E210" s="15"/>
      <c r="F210" s="15"/>
      <c r="G210" s="23"/>
      <c r="H210" s="15">
        <v>10</v>
      </c>
      <c r="I210" s="15">
        <v>11</v>
      </c>
      <c r="J210" s="15">
        <f t="shared" si="61"/>
        <v>5</v>
      </c>
      <c r="K210" s="15">
        <f t="shared" si="60"/>
        <v>6</v>
      </c>
      <c r="L210" s="15">
        <v>-19.89</v>
      </c>
      <c r="M210" s="15">
        <v>6.23</v>
      </c>
      <c r="N210" s="36">
        <f t="shared" si="59"/>
        <v>3.1926163723916532</v>
      </c>
      <c r="O210" s="15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x14ac:dyDescent="0.15">
      <c r="A211" s="15"/>
      <c r="B211" s="15"/>
      <c r="C211" s="15"/>
      <c r="D211" s="15"/>
      <c r="E211" s="15"/>
      <c r="F211" s="15"/>
      <c r="G211" s="23"/>
      <c r="H211" s="15">
        <v>10</v>
      </c>
      <c r="I211" s="15">
        <v>11</v>
      </c>
      <c r="J211" s="15">
        <f t="shared" si="61"/>
        <v>6</v>
      </c>
      <c r="K211" s="15">
        <f t="shared" si="60"/>
        <v>7</v>
      </c>
      <c r="L211" s="15">
        <v>-47.82</v>
      </c>
      <c r="M211" s="15">
        <v>6.64</v>
      </c>
      <c r="N211" s="36">
        <f t="shared" si="59"/>
        <v>7.2018072289156629</v>
      </c>
      <c r="O211" s="15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x14ac:dyDescent="0.15">
      <c r="A212" s="15"/>
      <c r="B212" s="15"/>
      <c r="C212" s="15"/>
      <c r="D212" s="15"/>
      <c r="E212" s="15"/>
      <c r="F212" s="15"/>
      <c r="G212" s="23"/>
      <c r="H212" s="15">
        <v>10</v>
      </c>
      <c r="I212" s="15">
        <v>11</v>
      </c>
      <c r="J212" s="15">
        <f t="shared" si="61"/>
        <v>7</v>
      </c>
      <c r="K212" s="15">
        <f t="shared" si="60"/>
        <v>8</v>
      </c>
      <c r="L212" s="15">
        <v>-112.86</v>
      </c>
      <c r="M212" s="15">
        <v>6.49</v>
      </c>
      <c r="N212" s="36">
        <f t="shared" si="59"/>
        <v>17.389830508474574</v>
      </c>
      <c r="O212" s="15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x14ac:dyDescent="0.15">
      <c r="A213" s="15"/>
      <c r="B213" s="15"/>
      <c r="C213" s="15"/>
      <c r="D213" s="15"/>
      <c r="E213" s="15"/>
      <c r="F213" s="15"/>
      <c r="G213" s="23"/>
      <c r="H213" s="15">
        <v>10</v>
      </c>
      <c r="I213" s="15">
        <v>11</v>
      </c>
      <c r="J213" s="15">
        <f t="shared" si="61"/>
        <v>8</v>
      </c>
      <c r="K213" s="15">
        <f t="shared" si="60"/>
        <v>9</v>
      </c>
      <c r="L213" s="15">
        <v>-390.23</v>
      </c>
      <c r="M213" s="15">
        <v>6.09</v>
      </c>
      <c r="N213" s="36">
        <f t="shared" si="59"/>
        <v>64.077175697865357</v>
      </c>
      <c r="O213" s="15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x14ac:dyDescent="0.15">
      <c r="A214" s="29"/>
      <c r="B214" s="29"/>
      <c r="C214" s="29"/>
      <c r="D214" s="29"/>
      <c r="E214" s="29"/>
      <c r="F214" s="29"/>
      <c r="G214" s="23"/>
      <c r="H214" s="15">
        <v>11</v>
      </c>
      <c r="I214" s="15">
        <v>12</v>
      </c>
      <c r="J214" s="15">
        <f>I214+1</f>
        <v>13</v>
      </c>
      <c r="K214" s="15">
        <f>J214+1</f>
        <v>14</v>
      </c>
      <c r="L214" s="15">
        <v>-355.52</v>
      </c>
      <c r="M214" s="15">
        <v>6.64</v>
      </c>
      <c r="N214" s="36">
        <f t="shared" si="59"/>
        <v>53.542168674698793</v>
      </c>
      <c r="O214" s="15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x14ac:dyDescent="0.15">
      <c r="A215" s="29"/>
      <c r="B215" s="29"/>
      <c r="C215" s="29"/>
      <c r="D215" s="29"/>
      <c r="E215" s="29"/>
      <c r="F215" s="29"/>
      <c r="G215" s="23"/>
      <c r="H215" s="15">
        <v>11</v>
      </c>
      <c r="I215" s="15">
        <v>12</v>
      </c>
      <c r="J215" s="15">
        <f t="shared" ref="J215:J224" si="62">J214+1</f>
        <v>14</v>
      </c>
      <c r="K215" s="15">
        <f t="shared" ref="K215:K224" si="63">K214+1</f>
        <v>15</v>
      </c>
      <c r="L215" s="15">
        <v>-75.760000000000005</v>
      </c>
      <c r="M215" s="15">
        <v>6.79</v>
      </c>
      <c r="N215" s="36">
        <f t="shared" si="59"/>
        <v>11.15758468335788</v>
      </c>
      <c r="O215" s="15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x14ac:dyDescent="0.15">
      <c r="A216" s="29"/>
      <c r="B216" s="29"/>
      <c r="C216" s="29"/>
      <c r="D216" s="29"/>
      <c r="E216" s="29"/>
      <c r="F216" s="29"/>
      <c r="G216" s="23"/>
      <c r="H216" s="15">
        <v>11</v>
      </c>
      <c r="I216" s="15">
        <v>12</v>
      </c>
      <c r="J216" s="15">
        <f t="shared" si="62"/>
        <v>15</v>
      </c>
      <c r="K216" s="15">
        <f t="shared" si="63"/>
        <v>16</v>
      </c>
      <c r="L216" s="15">
        <v>-33.99</v>
      </c>
      <c r="M216" s="15">
        <v>6.67</v>
      </c>
      <c r="N216" s="36">
        <f t="shared" si="59"/>
        <v>5.0959520239880067</v>
      </c>
      <c r="O216" s="15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x14ac:dyDescent="0.15">
      <c r="A217" s="29"/>
      <c r="B217" s="29"/>
      <c r="C217" s="29"/>
      <c r="D217" s="29"/>
      <c r="E217" s="29"/>
      <c r="F217" s="29"/>
      <c r="G217" s="23"/>
      <c r="H217" s="15">
        <v>11</v>
      </c>
      <c r="I217" s="15">
        <v>12</v>
      </c>
      <c r="J217" s="15">
        <f t="shared" si="62"/>
        <v>16</v>
      </c>
      <c r="K217" s="15">
        <f t="shared" si="63"/>
        <v>17</v>
      </c>
      <c r="L217" s="15">
        <v>-27.06</v>
      </c>
      <c r="M217" s="15">
        <v>6.19</v>
      </c>
      <c r="N217" s="36">
        <f t="shared" si="59"/>
        <v>4.3715670436187395</v>
      </c>
      <c r="O217" s="15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x14ac:dyDescent="0.15">
      <c r="A218" s="29"/>
      <c r="B218" s="29"/>
      <c r="C218" s="29"/>
      <c r="D218" s="29"/>
      <c r="E218" s="29"/>
      <c r="F218" s="29"/>
      <c r="G218" s="23"/>
      <c r="H218" s="15">
        <v>11</v>
      </c>
      <c r="I218" s="15">
        <v>12</v>
      </c>
      <c r="J218" s="15">
        <f t="shared" si="62"/>
        <v>17</v>
      </c>
      <c r="K218" s="15">
        <f t="shared" si="63"/>
        <v>18</v>
      </c>
      <c r="L218" s="15">
        <v>-15.55</v>
      </c>
      <c r="M218" s="15">
        <v>6.27</v>
      </c>
      <c r="N218" s="36">
        <f t="shared" si="59"/>
        <v>2.4800637958532699</v>
      </c>
    </row>
    <row r="219" spans="1:28" x14ac:dyDescent="0.15">
      <c r="A219" s="29"/>
      <c r="B219" s="29"/>
      <c r="C219" s="29"/>
      <c r="D219" s="29"/>
      <c r="E219" s="29"/>
      <c r="F219" s="29"/>
      <c r="G219" s="23"/>
      <c r="H219" s="15">
        <v>11</v>
      </c>
      <c r="I219" s="15">
        <v>12</v>
      </c>
      <c r="J219" s="15">
        <f t="shared" si="62"/>
        <v>18</v>
      </c>
      <c r="K219" s="15">
        <f t="shared" si="63"/>
        <v>19</v>
      </c>
      <c r="L219" s="15">
        <v>-10.57</v>
      </c>
      <c r="M219" s="15">
        <v>6.08</v>
      </c>
      <c r="N219" s="36">
        <f t="shared" si="59"/>
        <v>1.7384868421052633</v>
      </c>
    </row>
    <row r="220" spans="1:28" x14ac:dyDescent="0.15">
      <c r="A220" s="29"/>
      <c r="B220" s="29"/>
      <c r="C220" s="29"/>
      <c r="D220" s="29"/>
      <c r="E220" s="29"/>
      <c r="F220" s="29"/>
      <c r="G220" s="23"/>
      <c r="H220" s="15">
        <v>11</v>
      </c>
      <c r="I220" s="15">
        <v>12</v>
      </c>
      <c r="J220" s="15">
        <f t="shared" si="62"/>
        <v>19</v>
      </c>
      <c r="K220" s="15">
        <f t="shared" si="63"/>
        <v>20</v>
      </c>
      <c r="L220" s="15">
        <v>-7.38</v>
      </c>
      <c r="M220" s="15">
        <v>6.16</v>
      </c>
      <c r="N220" s="36">
        <f t="shared" si="59"/>
        <v>1.198051948051948</v>
      </c>
    </row>
    <row r="221" spans="1:28" x14ac:dyDescent="0.15">
      <c r="A221" s="29"/>
      <c r="B221" s="29"/>
      <c r="C221" s="29"/>
      <c r="D221" s="29"/>
      <c r="E221" s="29"/>
      <c r="F221" s="29"/>
      <c r="G221" s="23"/>
      <c r="H221" s="15">
        <v>11</v>
      </c>
      <c r="I221" s="15">
        <v>12</v>
      </c>
      <c r="J221" s="15">
        <f t="shared" si="62"/>
        <v>20</v>
      </c>
      <c r="K221" s="15">
        <f t="shared" si="63"/>
        <v>21</v>
      </c>
      <c r="L221" s="15">
        <v>-7.12</v>
      </c>
      <c r="M221" s="15">
        <v>6.31</v>
      </c>
      <c r="N221" s="36">
        <f t="shared" si="59"/>
        <v>1.1283676703645009</v>
      </c>
    </row>
    <row r="222" spans="1:28" x14ac:dyDescent="0.15">
      <c r="A222" s="29"/>
      <c r="B222" s="29"/>
      <c r="C222" s="29"/>
      <c r="D222" s="29"/>
      <c r="E222" s="29"/>
      <c r="F222" s="29"/>
      <c r="G222" s="23"/>
      <c r="H222" s="15">
        <v>11</v>
      </c>
      <c r="I222" s="15">
        <v>12</v>
      </c>
      <c r="J222" s="15">
        <f t="shared" si="62"/>
        <v>21</v>
      </c>
      <c r="K222" s="15">
        <f t="shared" si="63"/>
        <v>22</v>
      </c>
      <c r="L222" s="15">
        <v>-4.9800000000000004</v>
      </c>
      <c r="M222" s="15">
        <v>6.47</v>
      </c>
      <c r="N222" s="36">
        <f t="shared" si="59"/>
        <v>0.7697063369397219</v>
      </c>
    </row>
    <row r="223" spans="1:28" x14ac:dyDescent="0.15">
      <c r="A223" s="29"/>
      <c r="B223" s="29"/>
      <c r="C223" s="29"/>
      <c r="D223" s="29"/>
      <c r="E223" s="29"/>
      <c r="F223" s="29"/>
      <c r="G223" s="23"/>
      <c r="H223" s="15">
        <v>11</v>
      </c>
      <c r="I223" s="15">
        <v>12</v>
      </c>
      <c r="J223" s="15">
        <f t="shared" si="62"/>
        <v>22</v>
      </c>
      <c r="K223" s="15">
        <f t="shared" si="63"/>
        <v>23</v>
      </c>
      <c r="L223" s="15">
        <v>-5.13</v>
      </c>
      <c r="M223" s="15">
        <v>6.52</v>
      </c>
      <c r="N223" s="36">
        <f t="shared" si="59"/>
        <v>0.78680981595092025</v>
      </c>
    </row>
    <row r="224" spans="1:28" x14ac:dyDescent="0.15">
      <c r="A224" s="29"/>
      <c r="B224" s="29"/>
      <c r="C224" s="29"/>
      <c r="D224" s="29"/>
      <c r="E224" s="29"/>
      <c r="F224" s="29"/>
      <c r="G224" s="23"/>
      <c r="H224" s="15">
        <v>11</v>
      </c>
      <c r="I224" s="15">
        <v>12</v>
      </c>
      <c r="J224" s="15">
        <f t="shared" si="62"/>
        <v>23</v>
      </c>
      <c r="K224" s="15">
        <f t="shared" si="63"/>
        <v>24</v>
      </c>
      <c r="L224" s="15">
        <v>-5.87</v>
      </c>
      <c r="M224" s="15">
        <v>6.51</v>
      </c>
      <c r="N224" s="36">
        <f t="shared" si="59"/>
        <v>0.9016897081413211</v>
      </c>
    </row>
    <row r="225" spans="1:14" x14ac:dyDescent="0.15">
      <c r="A225" s="29"/>
      <c r="B225" s="29"/>
      <c r="C225" s="29"/>
      <c r="D225" s="29"/>
      <c r="E225" s="29"/>
      <c r="F225" s="29"/>
      <c r="G225" s="23"/>
      <c r="H225" s="15">
        <v>11</v>
      </c>
      <c r="I225" s="15">
        <v>12</v>
      </c>
      <c r="J225" s="15">
        <f>J224+1</f>
        <v>24</v>
      </c>
      <c r="K225" s="15">
        <v>1</v>
      </c>
      <c r="L225" s="15">
        <v>-4.5199999999999996</v>
      </c>
      <c r="M225" s="15">
        <v>6.7</v>
      </c>
      <c r="N225" s="36">
        <f t="shared" si="59"/>
        <v>0.67462686567164176</v>
      </c>
    </row>
    <row r="226" spans="1:14" x14ac:dyDescent="0.15">
      <c r="A226" s="29"/>
      <c r="B226" s="29"/>
      <c r="C226" s="29"/>
      <c r="D226" s="29"/>
      <c r="E226" s="29"/>
      <c r="F226" s="29"/>
      <c r="G226" s="23"/>
      <c r="H226" s="15">
        <v>11</v>
      </c>
      <c r="I226" s="15">
        <v>12</v>
      </c>
      <c r="J226" s="15">
        <v>1</v>
      </c>
      <c r="K226" s="15">
        <f t="shared" ref="K226:K234" si="64">K225+1</f>
        <v>2</v>
      </c>
      <c r="L226" s="15">
        <v>-5.55</v>
      </c>
      <c r="M226" s="15">
        <v>6.62</v>
      </c>
      <c r="N226" s="36">
        <f t="shared" si="59"/>
        <v>0.83836858006042292</v>
      </c>
    </row>
    <row r="227" spans="1:14" x14ac:dyDescent="0.15">
      <c r="A227" s="29"/>
      <c r="B227" s="29"/>
      <c r="C227" s="29"/>
      <c r="D227" s="29"/>
      <c r="E227" s="29"/>
      <c r="F227" s="29"/>
      <c r="G227" s="23"/>
      <c r="H227" s="15">
        <v>11</v>
      </c>
      <c r="I227" s="15">
        <v>12</v>
      </c>
      <c r="J227" s="15">
        <f t="shared" ref="J227:J234" si="65">J226+1</f>
        <v>2</v>
      </c>
      <c r="K227" s="15">
        <f t="shared" si="64"/>
        <v>3</v>
      </c>
      <c r="L227" s="15">
        <v>-6.72</v>
      </c>
      <c r="M227" s="15">
        <v>6.64</v>
      </c>
      <c r="N227" s="36">
        <f t="shared" si="59"/>
        <v>1.0120481927710843</v>
      </c>
    </row>
    <row r="228" spans="1:14" x14ac:dyDescent="0.15">
      <c r="A228" s="29"/>
      <c r="B228" s="29"/>
      <c r="C228" s="29"/>
      <c r="D228" s="29"/>
      <c r="E228" s="29"/>
      <c r="F228" s="29"/>
      <c r="G228" s="23"/>
      <c r="H228" s="15">
        <v>11</v>
      </c>
      <c r="I228" s="15">
        <v>12</v>
      </c>
      <c r="J228" s="15">
        <f t="shared" si="65"/>
        <v>3</v>
      </c>
      <c r="K228" s="15">
        <f t="shared" si="64"/>
        <v>4</v>
      </c>
      <c r="L228" s="15">
        <v>-7.58</v>
      </c>
      <c r="M228" s="15">
        <v>6.82</v>
      </c>
      <c r="N228" s="36">
        <f t="shared" si="59"/>
        <v>1.1114369501466275</v>
      </c>
    </row>
    <row r="229" spans="1:14" x14ac:dyDescent="0.15">
      <c r="A229" s="29"/>
      <c r="B229" s="29"/>
      <c r="C229" s="29"/>
      <c r="D229" s="29"/>
      <c r="E229" s="29"/>
      <c r="F229" s="29"/>
      <c r="G229" s="23"/>
      <c r="H229" s="15">
        <v>11</v>
      </c>
      <c r="I229" s="15">
        <v>12</v>
      </c>
      <c r="J229" s="15">
        <f t="shared" si="65"/>
        <v>4</v>
      </c>
      <c r="K229" s="15">
        <f t="shared" si="64"/>
        <v>5</v>
      </c>
      <c r="L229" s="15">
        <v>-17.82</v>
      </c>
      <c r="M229" s="15">
        <v>6.64</v>
      </c>
      <c r="N229" s="36">
        <f t="shared" si="59"/>
        <v>2.6837349397590362</v>
      </c>
    </row>
    <row r="230" spans="1:14" x14ac:dyDescent="0.15">
      <c r="A230" s="29"/>
      <c r="B230" s="29"/>
      <c r="C230" s="29"/>
      <c r="D230" s="29"/>
      <c r="E230" s="29"/>
      <c r="F230" s="29"/>
      <c r="G230" s="23"/>
      <c r="H230" s="15">
        <v>11</v>
      </c>
      <c r="I230" s="15">
        <v>12</v>
      </c>
      <c r="J230" s="15">
        <f t="shared" si="65"/>
        <v>5</v>
      </c>
      <c r="K230" s="15">
        <f t="shared" si="64"/>
        <v>6</v>
      </c>
      <c r="L230" s="15">
        <v>-13.79</v>
      </c>
      <c r="M230" s="15">
        <v>6.58</v>
      </c>
      <c r="N230" s="36">
        <f t="shared" si="59"/>
        <v>2.0957446808510638</v>
      </c>
    </row>
    <row r="231" spans="1:14" x14ac:dyDescent="0.15">
      <c r="A231" s="29"/>
      <c r="B231" s="29"/>
      <c r="C231" s="29"/>
      <c r="D231" s="29"/>
      <c r="E231" s="29"/>
      <c r="F231" s="29"/>
      <c r="G231" s="23"/>
      <c r="H231" s="15">
        <v>11</v>
      </c>
      <c r="I231" s="15">
        <v>12</v>
      </c>
      <c r="J231" s="15">
        <f t="shared" si="65"/>
        <v>6</v>
      </c>
      <c r="K231" s="15">
        <f t="shared" si="64"/>
        <v>7</v>
      </c>
      <c r="L231" s="15">
        <v>-26.58</v>
      </c>
      <c r="M231" s="15">
        <v>6.5</v>
      </c>
      <c r="N231" s="36">
        <f t="shared" si="59"/>
        <v>4.0892307692307686</v>
      </c>
    </row>
    <row r="232" spans="1:14" x14ac:dyDescent="0.15">
      <c r="A232" s="29"/>
      <c r="B232" s="29"/>
      <c r="C232" s="29"/>
      <c r="D232" s="29"/>
      <c r="E232" s="29"/>
      <c r="F232" s="29"/>
      <c r="G232" s="23"/>
      <c r="H232" s="15">
        <v>11</v>
      </c>
      <c r="I232" s="15">
        <v>12</v>
      </c>
      <c r="J232" s="15">
        <f t="shared" si="65"/>
        <v>7</v>
      </c>
      <c r="K232" s="15">
        <f t="shared" si="64"/>
        <v>8</v>
      </c>
      <c r="L232" s="15">
        <v>-50.03</v>
      </c>
      <c r="M232" s="15">
        <v>6.55</v>
      </c>
      <c r="N232" s="36">
        <f t="shared" si="59"/>
        <v>7.6381679389312982</v>
      </c>
    </row>
    <row r="233" spans="1:14" x14ac:dyDescent="0.15">
      <c r="A233" s="29"/>
      <c r="B233" s="29"/>
      <c r="C233" s="29"/>
      <c r="D233" s="29"/>
      <c r="E233" s="29"/>
      <c r="F233" s="29"/>
      <c r="G233" s="23"/>
      <c r="H233" s="15">
        <v>11</v>
      </c>
      <c r="I233" s="15">
        <v>12</v>
      </c>
      <c r="J233" s="15">
        <f t="shared" si="65"/>
        <v>8</v>
      </c>
      <c r="K233" s="15">
        <f t="shared" si="64"/>
        <v>9</v>
      </c>
      <c r="L233" s="15">
        <v>-110.15</v>
      </c>
      <c r="M233" s="15">
        <v>6.35</v>
      </c>
      <c r="N233" s="36">
        <f t="shared" si="59"/>
        <v>17.346456692913389</v>
      </c>
    </row>
    <row r="234" spans="1:14" x14ac:dyDescent="0.15">
      <c r="A234" s="29"/>
      <c r="B234" s="29"/>
      <c r="C234" s="29"/>
      <c r="D234" s="29"/>
      <c r="E234" s="29"/>
      <c r="F234" s="29"/>
      <c r="G234" s="23"/>
      <c r="H234" s="15">
        <v>11</v>
      </c>
      <c r="I234" s="15">
        <v>12</v>
      </c>
      <c r="J234" s="15">
        <f t="shared" si="65"/>
        <v>9</v>
      </c>
      <c r="K234" s="15">
        <f t="shared" si="64"/>
        <v>10</v>
      </c>
      <c r="L234" s="15">
        <v>-436.7</v>
      </c>
      <c r="M234" s="15">
        <v>6.37</v>
      </c>
      <c r="N234" s="36">
        <f t="shared" si="59"/>
        <v>68.555729984301408</v>
      </c>
    </row>
    <row r="235" spans="1:14" x14ac:dyDescent="0.15">
      <c r="A235" s="29"/>
      <c r="B235" s="29"/>
      <c r="C235" s="29"/>
      <c r="D235" s="29"/>
      <c r="E235" s="29"/>
      <c r="F235" s="29"/>
      <c r="G235" s="23"/>
      <c r="H235" s="15">
        <v>12</v>
      </c>
      <c r="I235" s="15">
        <v>13</v>
      </c>
      <c r="J235" s="15">
        <f>I235+1</f>
        <v>14</v>
      </c>
      <c r="K235" s="15">
        <f>J235+1</f>
        <v>15</v>
      </c>
      <c r="L235" s="15">
        <v>-224.99</v>
      </c>
      <c r="M235" s="15">
        <v>5.99</v>
      </c>
      <c r="N235" s="36">
        <f t="shared" si="59"/>
        <v>37.560934891485807</v>
      </c>
    </row>
    <row r="236" spans="1:14" x14ac:dyDescent="0.15">
      <c r="A236" s="29"/>
      <c r="B236" s="29"/>
      <c r="C236" s="29"/>
      <c r="D236" s="29"/>
      <c r="E236" s="29"/>
      <c r="F236" s="29"/>
      <c r="G236" s="23"/>
      <c r="H236" s="15">
        <v>12</v>
      </c>
      <c r="I236" s="15">
        <v>13</v>
      </c>
      <c r="J236" s="15">
        <f t="shared" ref="J236:J244" si="66">J235+1</f>
        <v>15</v>
      </c>
      <c r="K236" s="15">
        <f t="shared" ref="K236:K244" si="67">K235+1</f>
        <v>16</v>
      </c>
      <c r="L236" s="15">
        <v>-67.739999999999995</v>
      </c>
      <c r="M236" s="15">
        <v>6.02</v>
      </c>
      <c r="N236" s="36">
        <f t="shared" si="59"/>
        <v>11.252491694352159</v>
      </c>
    </row>
    <row r="237" spans="1:14" x14ac:dyDescent="0.15">
      <c r="A237" s="29"/>
      <c r="B237" s="29"/>
      <c r="C237" s="29"/>
      <c r="D237" s="29"/>
      <c r="E237" s="29"/>
      <c r="F237" s="29"/>
      <c r="G237" s="23"/>
      <c r="H237" s="15">
        <v>12</v>
      </c>
      <c r="I237" s="15">
        <v>13</v>
      </c>
      <c r="J237" s="15">
        <f t="shared" si="66"/>
        <v>16</v>
      </c>
      <c r="K237" s="15">
        <f t="shared" si="67"/>
        <v>17</v>
      </c>
      <c r="L237" s="15">
        <v>-40.380000000000003</v>
      </c>
      <c r="M237" s="15">
        <v>5.92</v>
      </c>
      <c r="N237" s="36">
        <f t="shared" si="59"/>
        <v>6.8209459459459465</v>
      </c>
    </row>
    <row r="238" spans="1:14" x14ac:dyDescent="0.15">
      <c r="A238" s="29"/>
      <c r="B238" s="29"/>
      <c r="C238" s="29"/>
      <c r="D238" s="29"/>
      <c r="E238" s="29"/>
      <c r="F238" s="29"/>
      <c r="G238" s="23"/>
      <c r="H238" s="15">
        <v>12</v>
      </c>
      <c r="I238" s="15">
        <v>13</v>
      </c>
      <c r="J238" s="15">
        <f t="shared" si="66"/>
        <v>17</v>
      </c>
      <c r="K238" s="15">
        <f t="shared" si="67"/>
        <v>18</v>
      </c>
      <c r="L238" s="15">
        <v>-23.64</v>
      </c>
      <c r="M238" s="15">
        <v>6.23</v>
      </c>
      <c r="N238" s="36">
        <f t="shared" si="59"/>
        <v>3.7945425361155696</v>
      </c>
    </row>
    <row r="239" spans="1:14" x14ac:dyDescent="0.15">
      <c r="A239" s="29"/>
      <c r="B239" s="29"/>
      <c r="C239" s="29"/>
      <c r="D239" s="29"/>
      <c r="E239" s="29"/>
      <c r="F239" s="29"/>
      <c r="G239" s="23"/>
      <c r="H239" s="15">
        <v>12</v>
      </c>
      <c r="I239" s="15">
        <v>13</v>
      </c>
      <c r="J239" s="15">
        <f t="shared" si="66"/>
        <v>18</v>
      </c>
      <c r="K239" s="15">
        <f t="shared" si="67"/>
        <v>19</v>
      </c>
      <c r="L239" s="15">
        <v>-12.85</v>
      </c>
      <c r="M239" s="15">
        <v>5.85</v>
      </c>
      <c r="N239" s="36">
        <f t="shared" si="59"/>
        <v>2.1965811965811968</v>
      </c>
    </row>
    <row r="240" spans="1:14" x14ac:dyDescent="0.15">
      <c r="A240" s="29"/>
      <c r="B240" s="29"/>
      <c r="C240" s="29"/>
      <c r="D240" s="29"/>
      <c r="E240" s="29"/>
      <c r="F240" s="29"/>
      <c r="G240" s="23"/>
      <c r="H240" s="15">
        <v>12</v>
      </c>
      <c r="I240" s="15">
        <v>13</v>
      </c>
      <c r="J240" s="15">
        <f t="shared" si="66"/>
        <v>19</v>
      </c>
      <c r="K240" s="15">
        <f t="shared" si="67"/>
        <v>20</v>
      </c>
      <c r="L240" s="15">
        <v>-8.27</v>
      </c>
      <c r="M240" s="15">
        <v>5.86</v>
      </c>
      <c r="N240" s="36">
        <f t="shared" si="59"/>
        <v>1.4112627986348121</v>
      </c>
    </row>
    <row r="241" spans="1:14" x14ac:dyDescent="0.15">
      <c r="A241" s="29"/>
      <c r="B241" s="29"/>
      <c r="C241" s="29"/>
      <c r="D241" s="29"/>
      <c r="E241" s="29"/>
      <c r="F241" s="29"/>
      <c r="G241" s="23"/>
      <c r="H241" s="15">
        <v>12</v>
      </c>
      <c r="I241" s="15">
        <v>13</v>
      </c>
      <c r="J241" s="15">
        <f t="shared" si="66"/>
        <v>20</v>
      </c>
      <c r="K241" s="15">
        <f t="shared" si="67"/>
        <v>21</v>
      </c>
      <c r="L241" s="15">
        <v>-7.36</v>
      </c>
      <c r="M241" s="15">
        <v>6.17</v>
      </c>
      <c r="N241" s="36">
        <f t="shared" si="59"/>
        <v>1.192868719611021</v>
      </c>
    </row>
    <row r="242" spans="1:14" x14ac:dyDescent="0.15">
      <c r="A242" s="29"/>
      <c r="B242" s="29"/>
      <c r="C242" s="29"/>
      <c r="D242" s="29"/>
      <c r="E242" s="29"/>
      <c r="F242" s="29"/>
      <c r="G242" s="23"/>
      <c r="H242" s="15">
        <v>12</v>
      </c>
      <c r="I242" s="15">
        <v>13</v>
      </c>
      <c r="J242" s="15">
        <f t="shared" si="66"/>
        <v>21</v>
      </c>
      <c r="K242" s="15">
        <f t="shared" si="67"/>
        <v>22</v>
      </c>
      <c r="L242" s="15">
        <v>-4.05</v>
      </c>
      <c r="M242" s="15">
        <v>5.0599999999999996</v>
      </c>
      <c r="N242" s="36">
        <f t="shared" si="59"/>
        <v>0.80039525691699609</v>
      </c>
    </row>
    <row r="243" spans="1:14" x14ac:dyDescent="0.15">
      <c r="A243" s="29"/>
      <c r="B243" s="29"/>
      <c r="C243" s="29"/>
      <c r="D243" s="29"/>
      <c r="E243" s="29"/>
      <c r="F243" s="29"/>
      <c r="G243" s="23"/>
      <c r="H243" s="15">
        <v>12</v>
      </c>
      <c r="I243" s="15">
        <v>13</v>
      </c>
      <c r="J243" s="15">
        <f t="shared" si="66"/>
        <v>22</v>
      </c>
      <c r="K243" s="15">
        <f t="shared" si="67"/>
        <v>23</v>
      </c>
      <c r="L243" s="15">
        <v>-2.82</v>
      </c>
      <c r="M243" s="15">
        <v>5.35</v>
      </c>
      <c r="N243" s="36">
        <f t="shared" si="59"/>
        <v>0.52710280373831775</v>
      </c>
    </row>
    <row r="244" spans="1:14" x14ac:dyDescent="0.15">
      <c r="A244" s="29"/>
      <c r="B244" s="29"/>
      <c r="C244" s="29"/>
      <c r="D244" s="29"/>
      <c r="E244" s="29"/>
      <c r="F244" s="29"/>
      <c r="G244" s="23"/>
      <c r="H244" s="15">
        <v>12</v>
      </c>
      <c r="I244" s="15">
        <v>13</v>
      </c>
      <c r="J244" s="15">
        <f t="shared" si="66"/>
        <v>23</v>
      </c>
      <c r="K244" s="15">
        <f t="shared" si="67"/>
        <v>24</v>
      </c>
      <c r="L244" s="15">
        <v>-1.38</v>
      </c>
      <c r="M244" s="15">
        <v>5.32</v>
      </c>
      <c r="N244" s="36">
        <f t="shared" si="59"/>
        <v>0.25939849624060146</v>
      </c>
    </row>
    <row r="245" spans="1:14" x14ac:dyDescent="0.15">
      <c r="A245" s="29"/>
      <c r="B245" s="29"/>
      <c r="C245" s="29"/>
      <c r="D245" s="29"/>
      <c r="E245" s="29"/>
      <c r="F245" s="29"/>
      <c r="G245" s="23"/>
      <c r="H245" s="15">
        <v>12</v>
      </c>
      <c r="I245" s="15">
        <v>13</v>
      </c>
      <c r="J245" s="15">
        <f>J244+1</f>
        <v>24</v>
      </c>
      <c r="K245" s="15">
        <v>1</v>
      </c>
      <c r="L245" s="15">
        <v>-2.3199999999999998</v>
      </c>
      <c r="M245" s="15">
        <v>4.51</v>
      </c>
      <c r="N245" s="36">
        <f t="shared" si="59"/>
        <v>0.51441241685144123</v>
      </c>
    </row>
    <row r="246" spans="1:14" x14ac:dyDescent="0.15">
      <c r="A246" s="29"/>
      <c r="B246" s="29"/>
      <c r="C246" s="29"/>
      <c r="D246" s="29"/>
      <c r="E246" s="29"/>
      <c r="F246" s="29"/>
      <c r="G246" s="23"/>
      <c r="H246" s="15">
        <v>12</v>
      </c>
      <c r="I246" s="15">
        <v>13</v>
      </c>
      <c r="J246" s="15">
        <v>1</v>
      </c>
      <c r="K246" s="15">
        <f t="shared" ref="K246:K255" si="68">K245+1</f>
        <v>2</v>
      </c>
      <c r="L246" s="15">
        <v>-5.21</v>
      </c>
      <c r="M246" s="15">
        <v>6.15</v>
      </c>
      <c r="N246" s="36">
        <f t="shared" si="59"/>
        <v>0.84715447154471535</v>
      </c>
    </row>
    <row r="247" spans="1:14" x14ac:dyDescent="0.15">
      <c r="A247" s="29"/>
      <c r="B247" s="29"/>
      <c r="C247" s="29"/>
      <c r="D247" s="29"/>
      <c r="E247" s="29"/>
      <c r="F247" s="29"/>
      <c r="G247" s="23"/>
      <c r="H247" s="15">
        <v>12</v>
      </c>
      <c r="I247" s="15">
        <v>13</v>
      </c>
      <c r="J247" s="15">
        <f t="shared" ref="J247:J255" si="69">J246+1</f>
        <v>2</v>
      </c>
      <c r="K247" s="15">
        <f t="shared" si="68"/>
        <v>3</v>
      </c>
      <c r="L247" s="15">
        <v>-2.6</v>
      </c>
      <c r="M247" s="15">
        <v>6.03</v>
      </c>
      <c r="N247" s="36">
        <f t="shared" si="59"/>
        <v>0.43117744610281922</v>
      </c>
    </row>
    <row r="248" spans="1:14" x14ac:dyDescent="0.15">
      <c r="A248" s="29"/>
      <c r="B248" s="29"/>
      <c r="C248" s="29"/>
      <c r="D248" s="29"/>
      <c r="E248" s="29"/>
      <c r="F248" s="29"/>
      <c r="G248" s="23"/>
      <c r="H248" s="15">
        <v>12</v>
      </c>
      <c r="I248" s="15">
        <v>13</v>
      </c>
      <c r="J248" s="15">
        <f t="shared" si="69"/>
        <v>3</v>
      </c>
      <c r="K248" s="15">
        <f t="shared" si="68"/>
        <v>4</v>
      </c>
      <c r="L248" s="15">
        <v>-4.33</v>
      </c>
      <c r="M248" s="15">
        <v>6.03</v>
      </c>
      <c r="N248" s="36">
        <f t="shared" si="59"/>
        <v>0.7180762852404643</v>
      </c>
    </row>
    <row r="249" spans="1:14" x14ac:dyDescent="0.15">
      <c r="A249" s="29"/>
      <c r="B249" s="29"/>
      <c r="C249" s="29"/>
      <c r="D249" s="29"/>
      <c r="E249" s="29"/>
      <c r="F249" s="29"/>
      <c r="G249" s="23"/>
      <c r="H249" s="15">
        <v>12</v>
      </c>
      <c r="I249" s="15">
        <v>13</v>
      </c>
      <c r="J249" s="15">
        <f t="shared" si="69"/>
        <v>4</v>
      </c>
      <c r="K249" s="15">
        <f t="shared" si="68"/>
        <v>5</v>
      </c>
      <c r="L249" s="15">
        <v>-4.41</v>
      </c>
      <c r="M249" s="15">
        <v>6.07</v>
      </c>
      <c r="N249" s="36">
        <f t="shared" si="59"/>
        <v>0.72652388797364087</v>
      </c>
    </row>
    <row r="250" spans="1:14" x14ac:dyDescent="0.15">
      <c r="A250" s="29"/>
      <c r="B250" s="29"/>
      <c r="C250" s="29"/>
      <c r="D250" s="29"/>
      <c r="E250" s="29"/>
      <c r="F250" s="29"/>
      <c r="G250" s="23"/>
      <c r="H250" s="15">
        <v>12</v>
      </c>
      <c r="I250" s="15">
        <v>13</v>
      </c>
      <c r="J250" s="15">
        <f t="shared" si="69"/>
        <v>5</v>
      </c>
      <c r="K250" s="15">
        <f t="shared" si="68"/>
        <v>6</v>
      </c>
      <c r="L250" s="15">
        <v>-9.93</v>
      </c>
      <c r="M250" s="15">
        <v>6.27</v>
      </c>
      <c r="N250" s="36">
        <f t="shared" si="59"/>
        <v>1.5837320574162681</v>
      </c>
    </row>
    <row r="251" spans="1:14" x14ac:dyDescent="0.15">
      <c r="A251" s="29"/>
      <c r="B251" s="29"/>
      <c r="C251" s="29"/>
      <c r="D251" s="29"/>
      <c r="E251" s="29"/>
      <c r="F251" s="29"/>
      <c r="G251" s="23"/>
      <c r="H251" s="15">
        <v>12</v>
      </c>
      <c r="I251" s="15">
        <v>13</v>
      </c>
      <c r="J251" s="15">
        <f t="shared" si="69"/>
        <v>6</v>
      </c>
      <c r="K251" s="15">
        <f t="shared" si="68"/>
        <v>7</v>
      </c>
      <c r="L251" s="15">
        <v>-14.88</v>
      </c>
      <c r="M251" s="15">
        <v>6.52</v>
      </c>
      <c r="N251" s="36">
        <f t="shared" si="59"/>
        <v>2.2822085889570554</v>
      </c>
    </row>
    <row r="252" spans="1:14" x14ac:dyDescent="0.15">
      <c r="A252" s="29"/>
      <c r="B252" s="29"/>
      <c r="C252" s="29"/>
      <c r="D252" s="29"/>
      <c r="E252" s="29"/>
      <c r="F252" s="29"/>
      <c r="G252" s="23"/>
      <c r="H252" s="15">
        <v>12</v>
      </c>
      <c r="I252" s="15">
        <v>13</v>
      </c>
      <c r="J252" s="15">
        <f t="shared" si="69"/>
        <v>7</v>
      </c>
      <c r="K252" s="15">
        <f t="shared" si="68"/>
        <v>8</v>
      </c>
      <c r="L252" s="15">
        <v>-25.24</v>
      </c>
      <c r="M252" s="15">
        <v>6.23</v>
      </c>
      <c r="N252" s="36">
        <f t="shared" si="59"/>
        <v>4.0513643659711072</v>
      </c>
    </row>
    <row r="253" spans="1:14" x14ac:dyDescent="0.15">
      <c r="A253" s="29"/>
      <c r="B253" s="29"/>
      <c r="C253" s="29"/>
      <c r="D253" s="29"/>
      <c r="E253" s="29"/>
      <c r="F253" s="29"/>
      <c r="G253" s="23"/>
      <c r="H253" s="15">
        <v>12</v>
      </c>
      <c r="I253" s="15">
        <v>13</v>
      </c>
      <c r="J253" s="15">
        <f t="shared" si="69"/>
        <v>8</v>
      </c>
      <c r="K253" s="15">
        <f t="shared" si="68"/>
        <v>9</v>
      </c>
      <c r="L253" s="15">
        <v>-40.85</v>
      </c>
      <c r="M253" s="15">
        <v>6.45</v>
      </c>
      <c r="N253" s="36">
        <f t="shared" si="59"/>
        <v>6.333333333333333</v>
      </c>
    </row>
    <row r="254" spans="1:14" x14ac:dyDescent="0.15">
      <c r="A254" s="29"/>
      <c r="B254" s="29"/>
      <c r="C254" s="29"/>
      <c r="D254" s="29"/>
      <c r="E254" s="29"/>
      <c r="F254" s="29"/>
      <c r="G254" s="23"/>
      <c r="H254" s="15">
        <v>12</v>
      </c>
      <c r="I254" s="15">
        <v>13</v>
      </c>
      <c r="J254" s="15">
        <f t="shared" si="69"/>
        <v>9</v>
      </c>
      <c r="K254" s="15">
        <f t="shared" si="68"/>
        <v>10</v>
      </c>
      <c r="L254" s="15">
        <v>-111.31</v>
      </c>
      <c r="M254" s="15">
        <v>6.25</v>
      </c>
      <c r="N254" s="36">
        <f t="shared" si="59"/>
        <v>17.8096</v>
      </c>
    </row>
    <row r="255" spans="1:14" x14ac:dyDescent="0.15">
      <c r="A255" s="29"/>
      <c r="B255" s="29"/>
      <c r="C255" s="29"/>
      <c r="D255" s="29"/>
      <c r="E255" s="29"/>
      <c r="F255" s="29"/>
      <c r="G255" s="23"/>
      <c r="H255" s="15">
        <v>12</v>
      </c>
      <c r="I255" s="15">
        <v>13</v>
      </c>
      <c r="J255" s="15">
        <f t="shared" si="69"/>
        <v>10</v>
      </c>
      <c r="K255" s="15">
        <f t="shared" si="68"/>
        <v>11</v>
      </c>
      <c r="L255" s="15">
        <v>-374.52</v>
      </c>
      <c r="M255" s="15">
        <v>6.03</v>
      </c>
      <c r="N255" s="36">
        <f t="shared" si="59"/>
        <v>62.109452736318403</v>
      </c>
    </row>
    <row r="256" spans="1:14" x14ac:dyDescent="0.15">
      <c r="A256" s="29"/>
      <c r="B256" s="29"/>
      <c r="C256" s="29"/>
      <c r="D256" s="29"/>
      <c r="E256" s="29"/>
      <c r="F256" s="29"/>
      <c r="G256" s="23"/>
      <c r="H256" s="15">
        <v>13</v>
      </c>
      <c r="I256" s="15">
        <v>14</v>
      </c>
      <c r="J256" s="15">
        <f>I256+1</f>
        <v>15</v>
      </c>
      <c r="K256" s="15">
        <f>J256+1</f>
        <v>16</v>
      </c>
      <c r="L256" s="15">
        <v>-238.17</v>
      </c>
      <c r="M256" s="15">
        <v>4.68</v>
      </c>
      <c r="N256" s="36">
        <f t="shared" si="59"/>
        <v>50.891025641025642</v>
      </c>
    </row>
    <row r="257" spans="1:14" x14ac:dyDescent="0.15">
      <c r="A257" s="29"/>
      <c r="B257" s="29"/>
      <c r="C257" s="29"/>
      <c r="D257" s="29"/>
      <c r="E257" s="29"/>
      <c r="F257" s="29"/>
      <c r="G257" s="23"/>
      <c r="H257" s="15">
        <v>13</v>
      </c>
      <c r="I257" s="15">
        <v>14</v>
      </c>
      <c r="J257" s="15">
        <f t="shared" ref="J257:K264" si="70">J256+1</f>
        <v>16</v>
      </c>
      <c r="K257" s="15">
        <f t="shared" si="70"/>
        <v>17</v>
      </c>
      <c r="L257" s="15">
        <v>-77.47</v>
      </c>
      <c r="M257" s="15">
        <v>4.54</v>
      </c>
      <c r="N257" s="36">
        <f t="shared" si="59"/>
        <v>17.06387665198238</v>
      </c>
    </row>
    <row r="258" spans="1:14" x14ac:dyDescent="0.15">
      <c r="A258" s="29"/>
      <c r="B258" s="29"/>
      <c r="C258" s="29"/>
      <c r="D258" s="29"/>
      <c r="E258" s="29"/>
      <c r="F258" s="29"/>
      <c r="G258" s="23"/>
      <c r="H258" s="15">
        <v>13</v>
      </c>
      <c r="I258" s="15">
        <v>14</v>
      </c>
      <c r="J258" s="15">
        <f t="shared" si="70"/>
        <v>17</v>
      </c>
      <c r="K258" s="15">
        <f t="shared" si="70"/>
        <v>18</v>
      </c>
      <c r="L258" s="15">
        <v>-31.96</v>
      </c>
      <c r="M258" s="15">
        <v>4.5599999999999996</v>
      </c>
      <c r="N258" s="36">
        <f t="shared" si="59"/>
        <v>7.0087719298245625</v>
      </c>
    </row>
    <row r="259" spans="1:14" x14ac:dyDescent="0.15">
      <c r="A259" s="29"/>
      <c r="B259" s="29"/>
      <c r="C259" s="29"/>
      <c r="D259" s="29"/>
      <c r="E259" s="29"/>
      <c r="F259" s="29"/>
      <c r="G259" s="23"/>
      <c r="H259" s="15">
        <v>13</v>
      </c>
      <c r="I259" s="15">
        <v>14</v>
      </c>
      <c r="J259" s="15">
        <f t="shared" si="70"/>
        <v>18</v>
      </c>
      <c r="K259" s="15">
        <f t="shared" si="70"/>
        <v>19</v>
      </c>
      <c r="L259" s="15">
        <v>-13.73</v>
      </c>
      <c r="M259" s="15">
        <v>3.37</v>
      </c>
      <c r="N259" s="36">
        <f t="shared" si="59"/>
        <v>4.0741839762611276</v>
      </c>
    </row>
    <row r="260" spans="1:14" x14ac:dyDescent="0.15">
      <c r="A260" s="29"/>
      <c r="B260" s="29"/>
      <c r="C260" s="29"/>
      <c r="D260" s="29"/>
      <c r="E260" s="29"/>
      <c r="F260" s="29"/>
      <c r="G260" s="29"/>
      <c r="H260" s="15">
        <v>13</v>
      </c>
      <c r="I260" s="15">
        <v>14</v>
      </c>
      <c r="J260" s="15">
        <f t="shared" si="70"/>
        <v>19</v>
      </c>
      <c r="K260" s="15">
        <f t="shared" si="70"/>
        <v>20</v>
      </c>
      <c r="L260" s="15">
        <v>-8.18</v>
      </c>
      <c r="M260" s="15">
        <v>3.39</v>
      </c>
      <c r="N260" s="36">
        <f t="shared" si="59"/>
        <v>2.4129793510324484</v>
      </c>
    </row>
    <row r="261" spans="1:14" x14ac:dyDescent="0.15">
      <c r="A261" s="29"/>
      <c r="B261" s="29"/>
      <c r="C261" s="29"/>
      <c r="D261" s="29"/>
      <c r="E261" s="29"/>
      <c r="F261" s="29"/>
      <c r="G261" s="29"/>
      <c r="H261" s="15">
        <v>13</v>
      </c>
      <c r="I261" s="15">
        <v>14</v>
      </c>
      <c r="J261" s="15">
        <f t="shared" si="70"/>
        <v>20</v>
      </c>
      <c r="K261" s="15">
        <f t="shared" si="70"/>
        <v>21</v>
      </c>
      <c r="L261" s="15">
        <v>-5.15</v>
      </c>
      <c r="M261" s="15">
        <v>3.08</v>
      </c>
      <c r="N261" s="36">
        <f t="shared" ref="N261:N324" si="71">-L261/M261</f>
        <v>1.6720779220779221</v>
      </c>
    </row>
    <row r="262" spans="1:14" x14ac:dyDescent="0.15">
      <c r="A262" s="29"/>
      <c r="B262" s="29"/>
      <c r="C262" s="29"/>
      <c r="D262" s="29"/>
      <c r="E262" s="29"/>
      <c r="F262" s="29"/>
      <c r="G262" s="29"/>
      <c r="H262" s="15">
        <v>13</v>
      </c>
      <c r="I262" s="15">
        <v>14</v>
      </c>
      <c r="J262" s="15">
        <f t="shared" si="70"/>
        <v>21</v>
      </c>
      <c r="K262" s="15">
        <f t="shared" si="70"/>
        <v>22</v>
      </c>
      <c r="L262" s="15">
        <v>-1.44</v>
      </c>
      <c r="M262" s="15">
        <v>3.21</v>
      </c>
      <c r="N262" s="36">
        <f t="shared" si="71"/>
        <v>0.44859813084112149</v>
      </c>
    </row>
    <row r="263" spans="1:14" x14ac:dyDescent="0.15">
      <c r="A263" s="29"/>
      <c r="B263" s="29"/>
      <c r="C263" s="29"/>
      <c r="D263" s="29"/>
      <c r="E263" s="29"/>
      <c r="F263" s="29"/>
      <c r="G263" s="29"/>
      <c r="H263" s="15">
        <v>13</v>
      </c>
      <c r="I263" s="15">
        <v>14</v>
      </c>
      <c r="J263" s="15">
        <f t="shared" si="70"/>
        <v>22</v>
      </c>
      <c r="K263" s="15">
        <f t="shared" si="70"/>
        <v>23</v>
      </c>
      <c r="L263" s="15">
        <v>-1.46</v>
      </c>
      <c r="M263" s="15">
        <v>3.64</v>
      </c>
      <c r="N263" s="36">
        <f t="shared" si="71"/>
        <v>0.40109890109890106</v>
      </c>
    </row>
    <row r="264" spans="1:14" x14ac:dyDescent="0.15">
      <c r="A264" s="29"/>
      <c r="B264" s="29"/>
      <c r="C264" s="29"/>
      <c r="D264" s="29"/>
      <c r="E264" s="29"/>
      <c r="F264" s="29"/>
      <c r="G264" s="29"/>
      <c r="H264" s="15">
        <v>13</v>
      </c>
      <c r="I264" s="15">
        <v>14</v>
      </c>
      <c r="J264" s="15">
        <f t="shared" si="70"/>
        <v>23</v>
      </c>
      <c r="K264" s="15">
        <f t="shared" si="70"/>
        <v>24</v>
      </c>
      <c r="L264" s="15">
        <v>-2.68</v>
      </c>
      <c r="M264" s="15">
        <v>3.62</v>
      </c>
      <c r="N264" s="36">
        <f t="shared" si="71"/>
        <v>0.74033149171270718</v>
      </c>
    </row>
    <row r="265" spans="1:14" x14ac:dyDescent="0.15">
      <c r="A265" s="29"/>
      <c r="B265" s="29"/>
      <c r="C265" s="29"/>
      <c r="D265" s="29"/>
      <c r="E265" s="29"/>
      <c r="F265" s="29"/>
      <c r="G265" s="29"/>
      <c r="H265" s="15">
        <v>13</v>
      </c>
      <c r="I265" s="15">
        <v>14</v>
      </c>
      <c r="J265" s="15">
        <f>J264+1</f>
        <v>24</v>
      </c>
      <c r="K265" s="15">
        <v>1</v>
      </c>
      <c r="L265" s="15">
        <v>-1.78</v>
      </c>
      <c r="M265" s="15">
        <v>3.45</v>
      </c>
      <c r="N265" s="36">
        <f t="shared" si="71"/>
        <v>0.51594202898550723</v>
      </c>
    </row>
    <row r="266" spans="1:14" x14ac:dyDescent="0.15">
      <c r="A266" s="29"/>
      <c r="B266" s="29"/>
      <c r="C266" s="29"/>
      <c r="D266" s="29"/>
      <c r="E266" s="29"/>
      <c r="F266" s="29"/>
      <c r="G266" s="29"/>
      <c r="H266" s="15">
        <v>13</v>
      </c>
      <c r="I266" s="15">
        <v>14</v>
      </c>
      <c r="J266" s="15">
        <v>1</v>
      </c>
      <c r="K266" s="15">
        <f t="shared" ref="K266:K276" si="72">K265+1</f>
        <v>2</v>
      </c>
      <c r="L266" s="15">
        <v>-0.79</v>
      </c>
      <c r="M266" s="15">
        <v>4.8099999999999996</v>
      </c>
      <c r="N266" s="36">
        <f t="shared" si="71"/>
        <v>0.16424116424116425</v>
      </c>
    </row>
    <row r="267" spans="1:14" x14ac:dyDescent="0.15">
      <c r="A267" s="29"/>
      <c r="B267" s="29"/>
      <c r="C267" s="29"/>
      <c r="D267" s="29"/>
      <c r="E267" s="29"/>
      <c r="F267" s="29"/>
      <c r="G267" s="29"/>
      <c r="H267" s="15">
        <v>13</v>
      </c>
      <c r="I267" s="15">
        <v>14</v>
      </c>
      <c r="J267" s="15">
        <f t="shared" ref="J267:J276" si="73">J266+1</f>
        <v>2</v>
      </c>
      <c r="K267" s="15">
        <f t="shared" si="72"/>
        <v>3</v>
      </c>
      <c r="L267" s="15">
        <v>-2.86</v>
      </c>
      <c r="M267" s="15">
        <v>4.8499999999999996</v>
      </c>
      <c r="N267" s="36">
        <f t="shared" si="71"/>
        <v>0.58969072164948455</v>
      </c>
    </row>
    <row r="268" spans="1:14" x14ac:dyDescent="0.15">
      <c r="A268" s="29"/>
      <c r="B268" s="29"/>
      <c r="C268" s="29"/>
      <c r="D268" s="29"/>
      <c r="E268" s="29"/>
      <c r="F268" s="29"/>
      <c r="G268" s="29"/>
      <c r="H268" s="15">
        <v>13</v>
      </c>
      <c r="I268" s="15">
        <v>14</v>
      </c>
      <c r="J268" s="15">
        <f t="shared" si="73"/>
        <v>3</v>
      </c>
      <c r="K268" s="15">
        <f t="shared" si="72"/>
        <v>4</v>
      </c>
      <c r="L268" s="15">
        <v>-7.17</v>
      </c>
      <c r="M268" s="15">
        <v>4.87</v>
      </c>
      <c r="N268" s="36">
        <f t="shared" si="71"/>
        <v>1.4722792607802875</v>
      </c>
    </row>
    <row r="269" spans="1:14" x14ac:dyDescent="0.15">
      <c r="A269" s="29"/>
      <c r="B269" s="29"/>
      <c r="C269" s="29"/>
      <c r="D269" s="29"/>
      <c r="E269" s="29"/>
      <c r="F269" s="29"/>
      <c r="G269" s="29"/>
      <c r="H269" s="15">
        <v>13</v>
      </c>
      <c r="I269" s="15">
        <v>14</v>
      </c>
      <c r="J269" s="15">
        <f t="shared" si="73"/>
        <v>4</v>
      </c>
      <c r="K269" s="15">
        <f t="shared" si="72"/>
        <v>5</v>
      </c>
      <c r="L269" s="15">
        <v>-8.9</v>
      </c>
      <c r="M269" s="15">
        <v>4.74</v>
      </c>
      <c r="N269" s="36">
        <f t="shared" si="71"/>
        <v>1.8776371308016877</v>
      </c>
    </row>
    <row r="270" spans="1:14" x14ac:dyDescent="0.15">
      <c r="A270" s="29"/>
      <c r="B270" s="29"/>
      <c r="C270" s="29"/>
      <c r="D270" s="29"/>
      <c r="E270" s="29"/>
      <c r="F270" s="29"/>
      <c r="G270" s="29"/>
      <c r="H270" s="15">
        <v>13</v>
      </c>
      <c r="I270" s="15">
        <v>14</v>
      </c>
      <c r="J270" s="15">
        <f t="shared" si="73"/>
        <v>5</v>
      </c>
      <c r="K270" s="15">
        <f t="shared" si="72"/>
        <v>6</v>
      </c>
      <c r="L270" s="15">
        <v>-5.58</v>
      </c>
      <c r="M270" s="15">
        <v>4.75</v>
      </c>
      <c r="N270" s="36">
        <f t="shared" si="71"/>
        <v>1.1747368421052631</v>
      </c>
    </row>
    <row r="271" spans="1:14" x14ac:dyDescent="0.15">
      <c r="A271" s="29"/>
      <c r="B271" s="29"/>
      <c r="C271" s="29"/>
      <c r="D271" s="29"/>
      <c r="E271" s="29"/>
      <c r="F271" s="29"/>
      <c r="G271" s="29"/>
      <c r="H271" s="15">
        <v>13</v>
      </c>
      <c r="I271" s="15">
        <v>14</v>
      </c>
      <c r="J271" s="15">
        <f t="shared" si="73"/>
        <v>6</v>
      </c>
      <c r="K271" s="15">
        <f t="shared" si="72"/>
        <v>7</v>
      </c>
      <c r="L271" s="15">
        <v>-6.41</v>
      </c>
      <c r="M271" s="15">
        <v>4.55</v>
      </c>
      <c r="N271" s="36">
        <f t="shared" si="71"/>
        <v>1.4087912087912089</v>
      </c>
    </row>
    <row r="272" spans="1:14" x14ac:dyDescent="0.15">
      <c r="A272" s="29"/>
      <c r="B272" s="29"/>
      <c r="C272" s="29"/>
      <c r="D272" s="29"/>
      <c r="E272" s="29"/>
      <c r="F272" s="29"/>
      <c r="G272" s="29"/>
      <c r="H272" s="15">
        <v>13</v>
      </c>
      <c r="I272" s="15">
        <v>14</v>
      </c>
      <c r="J272" s="15">
        <f t="shared" si="73"/>
        <v>7</v>
      </c>
      <c r="K272" s="15">
        <f t="shared" si="72"/>
        <v>8</v>
      </c>
      <c r="L272" s="15">
        <v>-8.0500000000000007</v>
      </c>
      <c r="M272" s="15">
        <v>4.43</v>
      </c>
      <c r="N272" s="36">
        <f t="shared" si="71"/>
        <v>1.8171557562076752</v>
      </c>
    </row>
    <row r="273" spans="1:14" x14ac:dyDescent="0.15">
      <c r="A273" s="29"/>
      <c r="B273" s="29"/>
      <c r="C273" s="29"/>
      <c r="D273" s="29"/>
      <c r="E273" s="29"/>
      <c r="F273" s="29"/>
      <c r="G273" s="29"/>
      <c r="H273" s="15">
        <v>13</v>
      </c>
      <c r="I273" s="15">
        <v>14</v>
      </c>
      <c r="J273" s="15">
        <f t="shared" si="73"/>
        <v>8</v>
      </c>
      <c r="K273" s="15">
        <f t="shared" si="72"/>
        <v>9</v>
      </c>
      <c r="L273" s="15">
        <v>-16.82</v>
      </c>
      <c r="M273" s="15">
        <v>4.7699999999999996</v>
      </c>
      <c r="N273" s="36">
        <f t="shared" si="71"/>
        <v>3.526205450733753</v>
      </c>
    </row>
    <row r="274" spans="1:14" x14ac:dyDescent="0.15">
      <c r="A274" s="29"/>
      <c r="B274" s="29"/>
      <c r="C274" s="29"/>
      <c r="D274" s="29"/>
      <c r="E274" s="29"/>
      <c r="F274" s="29"/>
      <c r="G274" s="29"/>
      <c r="H274" s="15">
        <v>13</v>
      </c>
      <c r="I274" s="15">
        <v>14</v>
      </c>
      <c r="J274" s="15">
        <f t="shared" si="73"/>
        <v>9</v>
      </c>
      <c r="K274" s="15">
        <f t="shared" si="72"/>
        <v>10</v>
      </c>
      <c r="L274" s="15">
        <v>-39.229999999999997</v>
      </c>
      <c r="M274" s="15">
        <v>4.8099999999999996</v>
      </c>
      <c r="N274" s="36">
        <f t="shared" si="71"/>
        <v>8.1559251559251553</v>
      </c>
    </row>
    <row r="275" spans="1:14" x14ac:dyDescent="0.15">
      <c r="A275" s="29"/>
      <c r="B275" s="29"/>
      <c r="C275" s="29"/>
      <c r="D275" s="29"/>
      <c r="E275" s="29"/>
      <c r="F275" s="29"/>
      <c r="G275" s="29"/>
      <c r="H275" s="15">
        <v>13</v>
      </c>
      <c r="I275" s="15">
        <v>14</v>
      </c>
      <c r="J275" s="15">
        <f t="shared" si="73"/>
        <v>10</v>
      </c>
      <c r="K275" s="15">
        <f t="shared" si="72"/>
        <v>11</v>
      </c>
      <c r="L275" s="15">
        <v>-73.97</v>
      </c>
      <c r="M275" s="15">
        <v>4.59</v>
      </c>
      <c r="N275" s="36">
        <f t="shared" si="71"/>
        <v>16.115468409586057</v>
      </c>
    </row>
    <row r="276" spans="1:14" x14ac:dyDescent="0.15">
      <c r="A276" s="29"/>
      <c r="B276" s="29"/>
      <c r="C276" s="29"/>
      <c r="D276" s="29"/>
      <c r="E276" s="29"/>
      <c r="F276" s="29"/>
      <c r="G276" s="29"/>
      <c r="H276" s="15">
        <v>13</v>
      </c>
      <c r="I276" s="15">
        <v>14</v>
      </c>
      <c r="J276" s="15">
        <f t="shared" si="73"/>
        <v>11</v>
      </c>
      <c r="K276" s="15">
        <f t="shared" si="72"/>
        <v>12</v>
      </c>
      <c r="L276" s="15">
        <v>-325.73</v>
      </c>
      <c r="M276" s="15">
        <v>4.4400000000000004</v>
      </c>
      <c r="N276" s="36">
        <f t="shared" si="71"/>
        <v>73.362612612612608</v>
      </c>
    </row>
    <row r="277" spans="1:14" x14ac:dyDescent="0.15">
      <c r="A277" s="29"/>
      <c r="B277" s="29"/>
      <c r="C277" s="29"/>
      <c r="D277" s="29"/>
      <c r="E277" s="29"/>
      <c r="F277" s="29"/>
      <c r="G277" s="29"/>
      <c r="H277" s="15">
        <v>14</v>
      </c>
      <c r="I277" s="15">
        <v>15</v>
      </c>
      <c r="J277" s="15">
        <f>I277+1</f>
        <v>16</v>
      </c>
      <c r="K277" s="15">
        <f>J277+1</f>
        <v>17</v>
      </c>
      <c r="L277" s="15">
        <v>-211.99</v>
      </c>
      <c r="M277" s="15">
        <v>3.33</v>
      </c>
      <c r="N277" s="36">
        <f t="shared" si="71"/>
        <v>63.66066066066066</v>
      </c>
    </row>
    <row r="278" spans="1:14" x14ac:dyDescent="0.15">
      <c r="A278" s="29"/>
      <c r="B278" s="29"/>
      <c r="C278" s="29"/>
      <c r="D278" s="29"/>
      <c r="E278" s="29"/>
      <c r="F278" s="29"/>
      <c r="G278" s="29"/>
      <c r="H278" s="15">
        <v>14</v>
      </c>
      <c r="I278" s="15">
        <v>15</v>
      </c>
      <c r="J278" s="15">
        <f t="shared" ref="J278:K284" si="74">J277+1</f>
        <v>17</v>
      </c>
      <c r="K278" s="15">
        <f t="shared" si="74"/>
        <v>18</v>
      </c>
      <c r="L278" s="15">
        <v>-54.73</v>
      </c>
      <c r="M278" s="15">
        <v>3.41</v>
      </c>
      <c r="N278" s="36">
        <f t="shared" si="71"/>
        <v>16.049853372434015</v>
      </c>
    </row>
    <row r="279" spans="1:14" x14ac:dyDescent="0.15">
      <c r="A279" s="29"/>
      <c r="B279" s="29"/>
      <c r="C279" s="29"/>
      <c r="D279" s="29"/>
      <c r="E279" s="29"/>
      <c r="F279" s="29"/>
      <c r="G279" s="29"/>
      <c r="H279" s="15">
        <v>14</v>
      </c>
      <c r="I279" s="15">
        <v>15</v>
      </c>
      <c r="J279" s="15">
        <f t="shared" si="74"/>
        <v>18</v>
      </c>
      <c r="K279" s="15">
        <f t="shared" si="74"/>
        <v>19</v>
      </c>
      <c r="L279" s="15"/>
      <c r="M279" s="15"/>
      <c r="N279" s="36" t="e">
        <f t="shared" si="71"/>
        <v>#DIV/0!</v>
      </c>
    </row>
    <row r="280" spans="1:14" x14ac:dyDescent="0.15">
      <c r="A280" s="29"/>
      <c r="B280" s="29"/>
      <c r="C280" s="29"/>
      <c r="D280" s="29"/>
      <c r="E280" s="29"/>
      <c r="F280" s="29"/>
      <c r="G280" s="29"/>
      <c r="H280" s="15">
        <v>14</v>
      </c>
      <c r="I280" s="15">
        <v>15</v>
      </c>
      <c r="J280" s="15">
        <f t="shared" si="74"/>
        <v>19</v>
      </c>
      <c r="K280" s="15">
        <f t="shared" si="74"/>
        <v>20</v>
      </c>
      <c r="L280" s="15"/>
      <c r="M280" s="15"/>
      <c r="N280" s="36" t="e">
        <f t="shared" si="71"/>
        <v>#DIV/0!</v>
      </c>
    </row>
    <row r="281" spans="1:14" x14ac:dyDescent="0.15">
      <c r="A281" s="29"/>
      <c r="B281" s="29"/>
      <c r="C281" s="29"/>
      <c r="D281" s="29"/>
      <c r="E281" s="29"/>
      <c r="F281" s="29"/>
      <c r="G281" s="29"/>
      <c r="H281" s="15">
        <v>14</v>
      </c>
      <c r="I281" s="15">
        <v>15</v>
      </c>
      <c r="J281" s="15">
        <f t="shared" si="74"/>
        <v>20</v>
      </c>
      <c r="K281" s="15">
        <f t="shared" si="74"/>
        <v>21</v>
      </c>
      <c r="L281" s="15"/>
      <c r="M281" s="15"/>
      <c r="N281" s="36" t="e">
        <f t="shared" si="71"/>
        <v>#DIV/0!</v>
      </c>
    </row>
    <row r="282" spans="1:14" x14ac:dyDescent="0.15">
      <c r="A282" s="29"/>
      <c r="B282" s="29"/>
      <c r="C282" s="29"/>
      <c r="D282" s="29"/>
      <c r="E282" s="29"/>
      <c r="F282" s="29"/>
      <c r="G282" s="29"/>
      <c r="H282" s="15">
        <v>14</v>
      </c>
      <c r="I282" s="15">
        <v>15</v>
      </c>
      <c r="J282" s="15">
        <f t="shared" si="74"/>
        <v>21</v>
      </c>
      <c r="K282" s="15">
        <f t="shared" si="74"/>
        <v>22</v>
      </c>
      <c r="L282" s="29"/>
      <c r="M282" s="29"/>
      <c r="N282" s="36" t="e">
        <f t="shared" si="71"/>
        <v>#DIV/0!</v>
      </c>
    </row>
    <row r="283" spans="1:14" x14ac:dyDescent="0.15">
      <c r="A283" s="29"/>
      <c r="B283" s="29"/>
      <c r="C283" s="29"/>
      <c r="D283" s="29"/>
      <c r="E283" s="29"/>
      <c r="F283" s="29"/>
      <c r="G283" s="29"/>
      <c r="H283" s="15">
        <v>14</v>
      </c>
      <c r="I283" s="15">
        <v>15</v>
      </c>
      <c r="J283" s="15">
        <f t="shared" si="74"/>
        <v>22</v>
      </c>
      <c r="K283" s="15">
        <f t="shared" si="74"/>
        <v>23</v>
      </c>
      <c r="L283" s="29"/>
      <c r="M283" s="29"/>
      <c r="N283" s="36" t="e">
        <f t="shared" si="71"/>
        <v>#DIV/0!</v>
      </c>
    </row>
    <row r="284" spans="1:14" x14ac:dyDescent="0.15">
      <c r="A284" s="29"/>
      <c r="B284" s="29"/>
      <c r="C284" s="29"/>
      <c r="D284" s="29"/>
      <c r="E284" s="29"/>
      <c r="F284" s="29"/>
      <c r="G284" s="29"/>
      <c r="H284" s="15">
        <v>14</v>
      </c>
      <c r="I284" s="15">
        <v>15</v>
      </c>
      <c r="J284" s="15">
        <f t="shared" si="74"/>
        <v>23</v>
      </c>
      <c r="K284" s="15">
        <f t="shared" si="74"/>
        <v>24</v>
      </c>
      <c r="L284" s="29"/>
      <c r="M284" s="29"/>
      <c r="N284" s="36" t="e">
        <f t="shared" si="71"/>
        <v>#DIV/0!</v>
      </c>
    </row>
    <row r="285" spans="1:14" x14ac:dyDescent="0.15">
      <c r="A285" s="29"/>
      <c r="B285" s="29"/>
      <c r="C285" s="29"/>
      <c r="D285" s="29"/>
      <c r="E285" s="29"/>
      <c r="F285" s="29"/>
      <c r="G285" s="29"/>
      <c r="H285" s="15">
        <v>14</v>
      </c>
      <c r="I285" s="15">
        <v>15</v>
      </c>
      <c r="J285" s="15">
        <f>J284+1</f>
        <v>24</v>
      </c>
      <c r="K285" s="15">
        <v>1</v>
      </c>
      <c r="L285" s="29"/>
      <c r="M285" s="29"/>
      <c r="N285" s="36" t="e">
        <f t="shared" si="71"/>
        <v>#DIV/0!</v>
      </c>
    </row>
    <row r="286" spans="1:14" x14ac:dyDescent="0.15">
      <c r="A286" s="29"/>
      <c r="B286" s="29"/>
      <c r="C286" s="29"/>
      <c r="D286" s="29"/>
      <c r="E286" s="29"/>
      <c r="F286" s="29"/>
      <c r="G286" s="29"/>
      <c r="H286" s="15">
        <v>14</v>
      </c>
      <c r="I286" s="15">
        <v>15</v>
      </c>
      <c r="J286" s="15">
        <v>1</v>
      </c>
      <c r="K286" s="15">
        <f t="shared" ref="K286:K297" si="75">K285+1</f>
        <v>2</v>
      </c>
      <c r="L286" s="29">
        <v>-3.81</v>
      </c>
      <c r="M286" s="29">
        <v>3.21</v>
      </c>
      <c r="N286" s="36">
        <f t="shared" si="71"/>
        <v>1.1869158878504673</v>
      </c>
    </row>
    <row r="287" spans="1:14" x14ac:dyDescent="0.15">
      <c r="A287" s="29"/>
      <c r="B287" s="29"/>
      <c r="C287" s="29"/>
      <c r="D287" s="29"/>
      <c r="E287" s="29"/>
      <c r="F287" s="29"/>
      <c r="G287" s="29"/>
      <c r="H287" s="15">
        <v>14</v>
      </c>
      <c r="I287" s="15">
        <v>15</v>
      </c>
      <c r="J287" s="15">
        <f t="shared" ref="J287:J297" si="76">J286+1</f>
        <v>2</v>
      </c>
      <c r="K287" s="15">
        <f t="shared" si="75"/>
        <v>3</v>
      </c>
      <c r="L287" s="29">
        <v>-1.47</v>
      </c>
      <c r="M287" s="29">
        <v>2.8</v>
      </c>
      <c r="N287" s="36">
        <f t="shared" si="71"/>
        <v>0.52500000000000002</v>
      </c>
    </row>
    <row r="288" spans="1:14" x14ac:dyDescent="0.15">
      <c r="A288" s="29"/>
      <c r="B288" s="29"/>
      <c r="C288" s="29"/>
      <c r="D288" s="29"/>
      <c r="E288" s="29"/>
      <c r="F288" s="29"/>
      <c r="G288" s="29"/>
      <c r="H288" s="15">
        <v>14</v>
      </c>
      <c r="I288" s="15">
        <v>15</v>
      </c>
      <c r="J288" s="15">
        <f t="shared" si="76"/>
        <v>3</v>
      </c>
      <c r="K288" s="15">
        <f t="shared" si="75"/>
        <v>4</v>
      </c>
      <c r="L288" s="29">
        <v>-3.98</v>
      </c>
      <c r="M288" s="29">
        <v>3.28</v>
      </c>
      <c r="N288" s="36">
        <f t="shared" si="71"/>
        <v>1.2134146341463414</v>
      </c>
    </row>
    <row r="289" spans="1:14" x14ac:dyDescent="0.15">
      <c r="A289" s="29"/>
      <c r="B289" s="29"/>
      <c r="C289" s="29"/>
      <c r="D289" s="29"/>
      <c r="E289" s="29"/>
      <c r="F289" s="29"/>
      <c r="G289" s="29"/>
      <c r="H289" s="15">
        <v>14</v>
      </c>
      <c r="I289" s="15">
        <v>15</v>
      </c>
      <c r="J289" s="15">
        <f t="shared" si="76"/>
        <v>4</v>
      </c>
      <c r="K289" s="15">
        <f t="shared" si="75"/>
        <v>5</v>
      </c>
      <c r="L289" s="29">
        <v>-7.29</v>
      </c>
      <c r="M289" s="29">
        <v>3.14</v>
      </c>
      <c r="N289" s="36">
        <f t="shared" si="71"/>
        <v>2.3216560509554141</v>
      </c>
    </row>
    <row r="290" spans="1:14" x14ac:dyDescent="0.15">
      <c r="A290" s="29"/>
      <c r="B290" s="29"/>
      <c r="C290" s="29"/>
      <c r="D290" s="29"/>
      <c r="E290" s="29"/>
      <c r="F290" s="29"/>
      <c r="G290" s="29"/>
      <c r="H290" s="15">
        <v>14</v>
      </c>
      <c r="I290" s="15">
        <v>15</v>
      </c>
      <c r="J290" s="15">
        <f t="shared" si="76"/>
        <v>5</v>
      </c>
      <c r="K290" s="15">
        <f t="shared" si="75"/>
        <v>6</v>
      </c>
      <c r="L290" s="29">
        <v>-1.81</v>
      </c>
      <c r="M290" s="29">
        <v>3.13</v>
      </c>
      <c r="N290" s="36">
        <f t="shared" si="71"/>
        <v>0.57827476038338665</v>
      </c>
    </row>
    <row r="291" spans="1:14" x14ac:dyDescent="0.15">
      <c r="A291" s="29"/>
      <c r="B291" s="29"/>
      <c r="C291" s="29"/>
      <c r="D291" s="29"/>
      <c r="E291" s="29"/>
      <c r="F291" s="29"/>
      <c r="G291" s="29"/>
      <c r="H291" s="15">
        <v>14</v>
      </c>
      <c r="I291" s="15">
        <v>15</v>
      </c>
      <c r="J291" s="15">
        <f t="shared" si="76"/>
        <v>6</v>
      </c>
      <c r="K291" s="15">
        <f t="shared" si="75"/>
        <v>7</v>
      </c>
      <c r="L291" s="29">
        <v>-4.1900000000000004</v>
      </c>
      <c r="M291" s="29">
        <v>2.97</v>
      </c>
      <c r="N291" s="36">
        <f t="shared" si="71"/>
        <v>1.4107744107744109</v>
      </c>
    </row>
    <row r="292" spans="1:14" x14ac:dyDescent="0.15">
      <c r="A292" s="29"/>
      <c r="B292" s="29"/>
      <c r="C292" s="29"/>
      <c r="D292" s="29"/>
      <c r="E292" s="29"/>
      <c r="F292" s="29"/>
      <c r="G292" s="29"/>
      <c r="H292" s="15">
        <v>14</v>
      </c>
      <c r="I292" s="15">
        <v>15</v>
      </c>
      <c r="J292" s="15">
        <f t="shared" si="76"/>
        <v>7</v>
      </c>
      <c r="K292" s="15">
        <f t="shared" si="75"/>
        <v>8</v>
      </c>
      <c r="L292" s="29">
        <v>-3.52</v>
      </c>
      <c r="M292" s="29">
        <v>3.48</v>
      </c>
      <c r="N292" s="36">
        <f t="shared" si="71"/>
        <v>1.0114942528735633</v>
      </c>
    </row>
    <row r="293" spans="1:14" x14ac:dyDescent="0.15">
      <c r="A293" s="29"/>
      <c r="B293" s="29"/>
      <c r="C293" s="29"/>
      <c r="D293" s="29"/>
      <c r="E293" s="29"/>
      <c r="F293" s="29"/>
      <c r="G293" s="29"/>
      <c r="H293" s="15">
        <v>14</v>
      </c>
      <c r="I293" s="15">
        <v>15</v>
      </c>
      <c r="J293" s="15">
        <f t="shared" si="76"/>
        <v>8</v>
      </c>
      <c r="K293" s="15">
        <f t="shared" si="75"/>
        <v>9</v>
      </c>
      <c r="L293" s="29">
        <v>-6.49</v>
      </c>
      <c r="M293" s="29">
        <v>3.19</v>
      </c>
      <c r="N293" s="36">
        <f t="shared" si="71"/>
        <v>2.0344827586206899</v>
      </c>
    </row>
    <row r="294" spans="1:14" x14ac:dyDescent="0.15">
      <c r="A294" s="29"/>
      <c r="B294" s="29"/>
      <c r="C294" s="29"/>
      <c r="D294" s="29"/>
      <c r="E294" s="29"/>
      <c r="F294" s="29"/>
      <c r="G294" s="29"/>
      <c r="H294" s="15">
        <v>14</v>
      </c>
      <c r="I294" s="15">
        <v>15</v>
      </c>
      <c r="J294" s="15">
        <f t="shared" si="76"/>
        <v>9</v>
      </c>
      <c r="K294" s="15">
        <f t="shared" si="75"/>
        <v>10</v>
      </c>
      <c r="L294" s="29">
        <v>-10.7</v>
      </c>
      <c r="M294" s="29">
        <v>3.02</v>
      </c>
      <c r="N294" s="36">
        <f t="shared" si="71"/>
        <v>3.5430463576158937</v>
      </c>
    </row>
    <row r="295" spans="1:14" x14ac:dyDescent="0.15">
      <c r="A295" s="29"/>
      <c r="B295" s="29"/>
      <c r="C295" s="29"/>
      <c r="D295" s="29"/>
      <c r="E295" s="29"/>
      <c r="F295" s="29"/>
      <c r="G295" s="29"/>
      <c r="H295" s="15">
        <v>14</v>
      </c>
      <c r="I295" s="15">
        <v>15</v>
      </c>
      <c r="J295" s="15">
        <f t="shared" si="76"/>
        <v>10</v>
      </c>
      <c r="K295" s="15">
        <f t="shared" si="75"/>
        <v>11</v>
      </c>
      <c r="L295" s="29">
        <v>-19.89</v>
      </c>
      <c r="M295" s="29">
        <v>3.19</v>
      </c>
      <c r="N295" s="36">
        <f t="shared" si="71"/>
        <v>6.2351097178683386</v>
      </c>
    </row>
    <row r="296" spans="1:14" x14ac:dyDescent="0.15">
      <c r="A296" s="29"/>
      <c r="B296" s="29"/>
      <c r="C296" s="29"/>
      <c r="D296" s="29"/>
      <c r="E296" s="29"/>
      <c r="F296" s="29"/>
      <c r="G296" s="29"/>
      <c r="H296" s="15">
        <v>14</v>
      </c>
      <c r="I296" s="15">
        <v>15</v>
      </c>
      <c r="J296" s="15">
        <f t="shared" si="76"/>
        <v>11</v>
      </c>
      <c r="K296" s="15">
        <f t="shared" si="75"/>
        <v>12</v>
      </c>
      <c r="L296" s="29">
        <v>-58.38</v>
      </c>
      <c r="M296" s="29">
        <v>3.22</v>
      </c>
      <c r="N296" s="36">
        <f t="shared" si="71"/>
        <v>18.130434782608695</v>
      </c>
    </row>
    <row r="297" spans="1:14" x14ac:dyDescent="0.15">
      <c r="A297" s="29"/>
      <c r="B297" s="29"/>
      <c r="C297" s="29"/>
      <c r="D297" s="29"/>
      <c r="E297" s="29"/>
      <c r="F297" s="29"/>
      <c r="G297" s="29"/>
      <c r="H297" s="15">
        <v>14</v>
      </c>
      <c r="I297" s="15">
        <v>15</v>
      </c>
      <c r="J297" s="15">
        <f t="shared" si="76"/>
        <v>12</v>
      </c>
      <c r="K297" s="15">
        <f t="shared" si="75"/>
        <v>13</v>
      </c>
      <c r="L297" s="15">
        <v>-209.66</v>
      </c>
      <c r="M297" s="15">
        <v>3.4</v>
      </c>
      <c r="N297" s="36">
        <f t="shared" si="71"/>
        <v>61.664705882352941</v>
      </c>
    </row>
    <row r="298" spans="1:14" x14ac:dyDescent="0.15">
      <c r="A298" s="29"/>
      <c r="B298" s="29"/>
      <c r="C298" s="29"/>
      <c r="D298" s="29"/>
      <c r="E298" s="29"/>
      <c r="F298" s="29"/>
      <c r="G298" s="29"/>
      <c r="H298" s="15">
        <v>15</v>
      </c>
      <c r="I298" s="15">
        <v>16</v>
      </c>
      <c r="J298" s="15">
        <f>I298+1</f>
        <v>17</v>
      </c>
      <c r="K298" s="15">
        <f>J298+1</f>
        <v>18</v>
      </c>
      <c r="L298" s="15"/>
      <c r="M298" s="15"/>
      <c r="N298" s="36" t="e">
        <f t="shared" si="71"/>
        <v>#DIV/0!</v>
      </c>
    </row>
    <row r="299" spans="1:14" x14ac:dyDescent="0.15">
      <c r="A299" s="29"/>
      <c r="B299" s="29"/>
      <c r="C299" s="29"/>
      <c r="D299" s="29"/>
      <c r="E299" s="29"/>
      <c r="F299" s="29"/>
      <c r="G299" s="29"/>
      <c r="H299" s="15">
        <v>15</v>
      </c>
      <c r="I299" s="15">
        <v>16</v>
      </c>
      <c r="J299" s="15">
        <f t="shared" ref="J299:K304" si="77">J298+1</f>
        <v>18</v>
      </c>
      <c r="K299" s="15">
        <f t="shared" si="77"/>
        <v>19</v>
      </c>
      <c r="L299" s="15"/>
      <c r="M299" s="15"/>
      <c r="N299" s="36" t="e">
        <f t="shared" si="71"/>
        <v>#DIV/0!</v>
      </c>
    </row>
    <row r="300" spans="1:14" x14ac:dyDescent="0.15">
      <c r="A300" s="29"/>
      <c r="B300" s="29"/>
      <c r="C300" s="29"/>
      <c r="D300" s="29"/>
      <c r="E300" s="29"/>
      <c r="F300" s="29"/>
      <c r="G300" s="29"/>
      <c r="H300" s="15">
        <v>15</v>
      </c>
      <c r="I300" s="15">
        <v>16</v>
      </c>
      <c r="J300" s="15">
        <f t="shared" si="77"/>
        <v>19</v>
      </c>
      <c r="K300" s="15">
        <f t="shared" si="77"/>
        <v>20</v>
      </c>
      <c r="L300" s="15"/>
      <c r="M300" s="15"/>
      <c r="N300" s="36" t="e">
        <f t="shared" si="71"/>
        <v>#DIV/0!</v>
      </c>
    </row>
    <row r="301" spans="1:14" x14ac:dyDescent="0.15">
      <c r="A301" s="29"/>
      <c r="B301" s="29"/>
      <c r="C301" s="29"/>
      <c r="D301" s="29"/>
      <c r="E301" s="29"/>
      <c r="F301" s="29"/>
      <c r="G301" s="29"/>
      <c r="H301" s="15">
        <v>15</v>
      </c>
      <c r="I301" s="15">
        <v>16</v>
      </c>
      <c r="J301" s="15">
        <f t="shared" si="77"/>
        <v>20</v>
      </c>
      <c r="K301" s="15">
        <f t="shared" si="77"/>
        <v>21</v>
      </c>
      <c r="L301" s="15"/>
      <c r="M301" s="15"/>
      <c r="N301" s="36" t="e">
        <f t="shared" si="71"/>
        <v>#DIV/0!</v>
      </c>
    </row>
    <row r="302" spans="1:14" x14ac:dyDescent="0.15">
      <c r="A302" s="29"/>
      <c r="B302" s="29"/>
      <c r="C302" s="29"/>
      <c r="D302" s="29"/>
      <c r="E302" s="29"/>
      <c r="F302" s="29"/>
      <c r="G302" s="29"/>
      <c r="H302" s="15">
        <v>15</v>
      </c>
      <c r="I302" s="15">
        <v>16</v>
      </c>
      <c r="J302" s="15">
        <f t="shared" si="77"/>
        <v>21</v>
      </c>
      <c r="K302" s="15">
        <f t="shared" si="77"/>
        <v>22</v>
      </c>
      <c r="L302" s="15"/>
      <c r="M302" s="15"/>
      <c r="N302" s="36" t="e">
        <f t="shared" si="71"/>
        <v>#DIV/0!</v>
      </c>
    </row>
    <row r="303" spans="1:14" x14ac:dyDescent="0.15">
      <c r="A303" s="29"/>
      <c r="B303" s="29"/>
      <c r="C303" s="29"/>
      <c r="D303" s="29"/>
      <c r="E303" s="29"/>
      <c r="F303" s="29"/>
      <c r="G303" s="29"/>
      <c r="H303" s="15">
        <v>15</v>
      </c>
      <c r="I303" s="15">
        <v>16</v>
      </c>
      <c r="J303" s="15">
        <f t="shared" si="77"/>
        <v>22</v>
      </c>
      <c r="K303" s="15">
        <f t="shared" si="77"/>
        <v>23</v>
      </c>
      <c r="L303" s="15"/>
      <c r="M303" s="15"/>
      <c r="N303" s="36" t="e">
        <f t="shared" si="71"/>
        <v>#DIV/0!</v>
      </c>
    </row>
    <row r="304" spans="1:14" x14ac:dyDescent="0.15">
      <c r="A304" s="29"/>
      <c r="B304" s="29"/>
      <c r="C304" s="29"/>
      <c r="D304" s="29"/>
      <c r="E304" s="29"/>
      <c r="F304" s="29"/>
      <c r="G304" s="29"/>
      <c r="H304" s="15">
        <v>15</v>
      </c>
      <c r="I304" s="15">
        <v>16</v>
      </c>
      <c r="J304" s="15">
        <f t="shared" si="77"/>
        <v>23</v>
      </c>
      <c r="K304" s="15">
        <f t="shared" si="77"/>
        <v>24</v>
      </c>
      <c r="L304" s="15"/>
      <c r="M304" s="15"/>
      <c r="N304" s="36" t="e">
        <f t="shared" si="71"/>
        <v>#DIV/0!</v>
      </c>
    </row>
    <row r="305" spans="1:14" x14ac:dyDescent="0.15">
      <c r="A305" s="29"/>
      <c r="B305" s="29"/>
      <c r="C305" s="29"/>
      <c r="D305" s="29"/>
      <c r="E305" s="29"/>
      <c r="F305" s="29"/>
      <c r="G305" s="29"/>
      <c r="H305" s="15">
        <v>15</v>
      </c>
      <c r="I305" s="15">
        <v>16</v>
      </c>
      <c r="J305" s="15">
        <f>J304+1</f>
        <v>24</v>
      </c>
      <c r="K305" s="15">
        <v>1</v>
      </c>
      <c r="L305" s="15"/>
      <c r="M305" s="15"/>
      <c r="N305" s="36" t="e">
        <f t="shared" si="71"/>
        <v>#DIV/0!</v>
      </c>
    </row>
    <row r="306" spans="1:14" x14ac:dyDescent="0.15">
      <c r="A306" s="29"/>
      <c r="B306" s="29"/>
      <c r="C306" s="29"/>
      <c r="D306" s="29"/>
      <c r="E306" s="29"/>
      <c r="F306" s="29"/>
      <c r="G306" s="29"/>
      <c r="H306" s="15">
        <v>15</v>
      </c>
      <c r="I306" s="15">
        <v>16</v>
      </c>
      <c r="J306" s="15">
        <v>1</v>
      </c>
      <c r="K306" s="15">
        <f t="shared" ref="K306:K318" si="78">K305+1</f>
        <v>2</v>
      </c>
      <c r="L306" s="15">
        <v>-6.28</v>
      </c>
      <c r="M306" s="15">
        <v>2.57</v>
      </c>
      <c r="N306" s="36">
        <f t="shared" si="71"/>
        <v>2.4435797665369652</v>
      </c>
    </row>
    <row r="307" spans="1:14" x14ac:dyDescent="0.15">
      <c r="A307" s="29"/>
      <c r="B307" s="29"/>
      <c r="C307" s="29"/>
      <c r="D307" s="29"/>
      <c r="E307" s="29"/>
      <c r="F307" s="29"/>
      <c r="G307" s="29"/>
      <c r="H307" s="15">
        <v>15</v>
      </c>
      <c r="I307" s="15">
        <v>16</v>
      </c>
      <c r="J307" s="15">
        <f t="shared" ref="J307:J318" si="79">J306+1</f>
        <v>2</v>
      </c>
      <c r="K307" s="15">
        <f t="shared" si="78"/>
        <v>3</v>
      </c>
      <c r="L307" s="15">
        <v>-8.9700000000000006</v>
      </c>
      <c r="M307" s="15">
        <v>3.11</v>
      </c>
      <c r="N307" s="36">
        <f t="shared" si="71"/>
        <v>2.884244372990354</v>
      </c>
    </row>
    <row r="308" spans="1:14" x14ac:dyDescent="0.15">
      <c r="A308" s="29"/>
      <c r="B308" s="29"/>
      <c r="C308" s="29"/>
      <c r="D308" s="29"/>
      <c r="E308" s="29"/>
      <c r="F308" s="29"/>
      <c r="G308" s="29"/>
      <c r="H308" s="15">
        <v>15</v>
      </c>
      <c r="I308" s="15">
        <v>16</v>
      </c>
      <c r="J308" s="15">
        <f t="shared" si="79"/>
        <v>3</v>
      </c>
      <c r="K308" s="15">
        <f t="shared" si="78"/>
        <v>4</v>
      </c>
      <c r="L308" s="15">
        <v>-2.36</v>
      </c>
      <c r="M308" s="15">
        <v>2.2599999999999998</v>
      </c>
      <c r="N308" s="36">
        <f t="shared" si="71"/>
        <v>1.0442477876106195</v>
      </c>
    </row>
    <row r="309" spans="1:14" x14ac:dyDescent="0.15">
      <c r="A309" s="29"/>
      <c r="B309" s="29"/>
      <c r="C309" s="29"/>
      <c r="D309" s="29"/>
      <c r="E309" s="29"/>
      <c r="F309" s="29"/>
      <c r="G309" s="29"/>
      <c r="H309" s="15">
        <v>15</v>
      </c>
      <c r="I309" s="15">
        <v>16</v>
      </c>
      <c r="J309" s="15">
        <f t="shared" si="79"/>
        <v>4</v>
      </c>
      <c r="K309" s="15">
        <f t="shared" si="78"/>
        <v>5</v>
      </c>
      <c r="L309" s="15">
        <v>-1.1599999999999999</v>
      </c>
      <c r="M309" s="15">
        <v>3.01</v>
      </c>
      <c r="N309" s="36">
        <f t="shared" si="71"/>
        <v>0.38538205980066448</v>
      </c>
    </row>
    <row r="310" spans="1:14" x14ac:dyDescent="0.15">
      <c r="A310" s="29"/>
      <c r="B310" s="29"/>
      <c r="C310" s="29"/>
      <c r="D310" s="29"/>
      <c r="E310" s="29"/>
      <c r="F310" s="29"/>
      <c r="G310" s="29"/>
      <c r="H310" s="15">
        <v>15</v>
      </c>
      <c r="I310" s="15">
        <v>16</v>
      </c>
      <c r="J310" s="15">
        <f t="shared" si="79"/>
        <v>5</v>
      </c>
      <c r="K310" s="15">
        <f t="shared" si="78"/>
        <v>6</v>
      </c>
      <c r="L310" s="15">
        <v>-2.38</v>
      </c>
      <c r="M310" s="15">
        <v>2.94</v>
      </c>
      <c r="N310" s="36">
        <f t="shared" si="71"/>
        <v>0.80952380952380953</v>
      </c>
    </row>
    <row r="311" spans="1:14" x14ac:dyDescent="0.15">
      <c r="A311" s="29"/>
      <c r="B311" s="29"/>
      <c r="C311" s="29"/>
      <c r="D311" s="29"/>
      <c r="E311" s="29"/>
      <c r="F311" s="29"/>
      <c r="G311" s="29"/>
      <c r="H311" s="15">
        <v>15</v>
      </c>
      <c r="I311" s="15">
        <v>16</v>
      </c>
      <c r="J311" s="15">
        <f t="shared" si="79"/>
        <v>6</v>
      </c>
      <c r="K311" s="15">
        <f t="shared" si="78"/>
        <v>7</v>
      </c>
      <c r="L311" s="15">
        <v>-6.17</v>
      </c>
      <c r="M311" s="15">
        <v>3.4</v>
      </c>
      <c r="N311" s="36">
        <f t="shared" si="71"/>
        <v>1.8147058823529412</v>
      </c>
    </row>
    <row r="312" spans="1:14" x14ac:dyDescent="0.15">
      <c r="A312" s="29"/>
      <c r="B312" s="29"/>
      <c r="C312" s="29"/>
      <c r="D312" s="29"/>
      <c r="E312" s="29"/>
      <c r="F312" s="29"/>
      <c r="G312" s="29"/>
      <c r="H312" s="15">
        <v>15</v>
      </c>
      <c r="I312" s="15">
        <v>16</v>
      </c>
      <c r="J312" s="15">
        <f t="shared" si="79"/>
        <v>7</v>
      </c>
      <c r="K312" s="15">
        <f t="shared" si="78"/>
        <v>8</v>
      </c>
      <c r="L312" s="15">
        <v>-7.2</v>
      </c>
      <c r="M312" s="15">
        <v>3.9</v>
      </c>
      <c r="N312" s="36">
        <f t="shared" si="71"/>
        <v>1.8461538461538463</v>
      </c>
    </row>
    <row r="313" spans="1:14" x14ac:dyDescent="0.15">
      <c r="A313" s="29"/>
      <c r="B313" s="29"/>
      <c r="C313" s="29"/>
      <c r="D313" s="29"/>
      <c r="E313" s="29"/>
      <c r="F313" s="29"/>
      <c r="G313" s="29"/>
      <c r="H313" s="15">
        <v>15</v>
      </c>
      <c r="I313" s="15">
        <v>16</v>
      </c>
      <c r="J313" s="15">
        <f t="shared" si="79"/>
        <v>8</v>
      </c>
      <c r="K313" s="15">
        <f t="shared" si="78"/>
        <v>9</v>
      </c>
      <c r="L313" s="15">
        <v>-8.06</v>
      </c>
      <c r="M313" s="15">
        <v>3.14</v>
      </c>
      <c r="N313" s="36">
        <f t="shared" si="71"/>
        <v>2.5668789808917198</v>
      </c>
    </row>
    <row r="314" spans="1:14" x14ac:dyDescent="0.15">
      <c r="A314" s="29"/>
      <c r="B314" s="29"/>
      <c r="C314" s="29"/>
      <c r="D314" s="29"/>
      <c r="E314" s="29"/>
      <c r="F314" s="29"/>
      <c r="G314" s="29"/>
      <c r="H314" s="15">
        <v>15</v>
      </c>
      <c r="I314" s="15">
        <v>16</v>
      </c>
      <c r="J314" s="15">
        <f t="shared" si="79"/>
        <v>9</v>
      </c>
      <c r="K314" s="15">
        <f t="shared" si="78"/>
        <v>10</v>
      </c>
      <c r="L314" s="15">
        <v>-8.5299999999999994</v>
      </c>
      <c r="M314" s="15">
        <v>2.99</v>
      </c>
      <c r="N314" s="36">
        <f t="shared" si="71"/>
        <v>2.8528428093645481</v>
      </c>
    </row>
    <row r="315" spans="1:14" x14ac:dyDescent="0.15">
      <c r="A315" s="29"/>
      <c r="B315" s="29"/>
      <c r="C315" s="29"/>
      <c r="D315" s="29"/>
      <c r="E315" s="29"/>
      <c r="F315" s="29"/>
      <c r="G315" s="29"/>
      <c r="H315" s="15">
        <v>15</v>
      </c>
      <c r="I315" s="15">
        <v>16</v>
      </c>
      <c r="J315" s="15">
        <f t="shared" si="79"/>
        <v>10</v>
      </c>
      <c r="K315" s="15">
        <f t="shared" si="78"/>
        <v>11</v>
      </c>
      <c r="L315" s="15">
        <v>-17.600000000000001</v>
      </c>
      <c r="M315" s="15">
        <v>4.1100000000000003</v>
      </c>
      <c r="N315" s="36">
        <f t="shared" si="71"/>
        <v>4.2822384428223845</v>
      </c>
    </row>
    <row r="316" spans="1:14" x14ac:dyDescent="0.15">
      <c r="A316" s="29"/>
      <c r="B316" s="29"/>
      <c r="C316" s="29"/>
      <c r="D316" s="29"/>
      <c r="E316" s="29"/>
      <c r="F316" s="29"/>
      <c r="G316" s="29"/>
      <c r="H316" s="15">
        <v>15</v>
      </c>
      <c r="I316" s="15">
        <v>16</v>
      </c>
      <c r="J316" s="15">
        <f t="shared" si="79"/>
        <v>11</v>
      </c>
      <c r="K316" s="15">
        <f t="shared" si="78"/>
        <v>12</v>
      </c>
      <c r="L316" s="15">
        <v>-25.65</v>
      </c>
      <c r="M316" s="15">
        <v>3.5</v>
      </c>
      <c r="N316" s="36">
        <f t="shared" si="71"/>
        <v>7.3285714285714283</v>
      </c>
    </row>
    <row r="317" spans="1:14" x14ac:dyDescent="0.15">
      <c r="A317" s="29"/>
      <c r="B317" s="29"/>
      <c r="C317" s="29"/>
      <c r="D317" s="29"/>
      <c r="E317" s="29"/>
      <c r="F317" s="29"/>
      <c r="G317" s="29"/>
      <c r="H317" s="15">
        <v>15</v>
      </c>
      <c r="I317" s="15">
        <v>16</v>
      </c>
      <c r="J317" s="15">
        <f t="shared" si="79"/>
        <v>12</v>
      </c>
      <c r="K317" s="15">
        <f t="shared" si="78"/>
        <v>13</v>
      </c>
      <c r="L317" s="15">
        <v>-46.32</v>
      </c>
      <c r="M317" s="15">
        <v>2.72</v>
      </c>
      <c r="N317" s="36">
        <f t="shared" si="71"/>
        <v>17.02941176470588</v>
      </c>
    </row>
    <row r="318" spans="1:14" x14ac:dyDescent="0.15">
      <c r="A318" s="29"/>
      <c r="B318" s="29"/>
      <c r="C318" s="29"/>
      <c r="D318" s="29"/>
      <c r="E318" s="29"/>
      <c r="F318" s="29"/>
      <c r="G318" s="29"/>
      <c r="H318" s="15">
        <v>15</v>
      </c>
      <c r="I318" s="15">
        <v>16</v>
      </c>
      <c r="J318" s="15">
        <f t="shared" si="79"/>
        <v>13</v>
      </c>
      <c r="K318" s="15">
        <f t="shared" si="78"/>
        <v>14</v>
      </c>
      <c r="L318" s="15">
        <v>-236.1</v>
      </c>
      <c r="M318" s="15">
        <v>3.06</v>
      </c>
      <c r="N318" s="36">
        <f t="shared" si="71"/>
        <v>77.156862745098039</v>
      </c>
    </row>
    <row r="319" spans="1:14" x14ac:dyDescent="0.15">
      <c r="A319" s="29"/>
      <c r="B319" s="29"/>
      <c r="C319" s="29"/>
      <c r="D319" s="29"/>
      <c r="E319" s="29"/>
      <c r="F319" s="29"/>
      <c r="G319" s="29"/>
      <c r="H319" s="15">
        <v>16</v>
      </c>
      <c r="I319" s="15">
        <v>17</v>
      </c>
      <c r="J319" s="15">
        <f>I319+1</f>
        <v>18</v>
      </c>
      <c r="K319" s="15">
        <f>J319+1</f>
        <v>19</v>
      </c>
      <c r="L319" s="15">
        <v>-418.74</v>
      </c>
      <c r="M319" s="15">
        <v>6.3</v>
      </c>
      <c r="N319" s="36">
        <f t="shared" si="71"/>
        <v>66.466666666666669</v>
      </c>
    </row>
    <row r="320" spans="1:14" x14ac:dyDescent="0.15">
      <c r="A320" s="29"/>
      <c r="B320" s="29"/>
      <c r="C320" s="29"/>
      <c r="D320" s="29"/>
      <c r="E320" s="29"/>
      <c r="F320" s="29"/>
      <c r="G320" s="29"/>
      <c r="H320" s="15">
        <v>16</v>
      </c>
      <c r="I320" s="15">
        <v>17</v>
      </c>
      <c r="J320" s="15">
        <f t="shared" ref="J320:K324" si="80">J319+1</f>
        <v>19</v>
      </c>
      <c r="K320" s="15">
        <f t="shared" si="80"/>
        <v>20</v>
      </c>
      <c r="L320" s="15">
        <v>-105.62</v>
      </c>
      <c r="M320" s="15">
        <v>6.55</v>
      </c>
      <c r="N320" s="36">
        <f t="shared" si="71"/>
        <v>16.125190839694657</v>
      </c>
    </row>
    <row r="321" spans="1:14" x14ac:dyDescent="0.15">
      <c r="A321" s="29"/>
      <c r="B321" s="29"/>
      <c r="C321" s="29"/>
      <c r="D321" s="29"/>
      <c r="E321" s="29"/>
      <c r="F321" s="29"/>
      <c r="G321" s="29"/>
      <c r="H321" s="15">
        <v>16</v>
      </c>
      <c r="I321" s="15">
        <v>17</v>
      </c>
      <c r="J321" s="15">
        <f t="shared" si="80"/>
        <v>20</v>
      </c>
      <c r="K321" s="15">
        <f t="shared" si="80"/>
        <v>21</v>
      </c>
      <c r="L321" s="15">
        <v>-43.37</v>
      </c>
      <c r="M321" s="15">
        <v>6.29</v>
      </c>
      <c r="N321" s="36">
        <f t="shared" si="71"/>
        <v>6.8950715421303652</v>
      </c>
    </row>
    <row r="322" spans="1:14" x14ac:dyDescent="0.15">
      <c r="A322" s="29"/>
      <c r="B322" s="29"/>
      <c r="C322" s="29"/>
      <c r="D322" s="29"/>
      <c r="E322" s="29"/>
      <c r="F322" s="29"/>
      <c r="G322" s="29"/>
      <c r="H322" s="15">
        <v>16</v>
      </c>
      <c r="I322" s="15">
        <v>17</v>
      </c>
      <c r="J322" s="15">
        <f t="shared" si="80"/>
        <v>21</v>
      </c>
      <c r="K322" s="15">
        <f t="shared" si="80"/>
        <v>22</v>
      </c>
      <c r="L322" s="15">
        <v>-21.8</v>
      </c>
      <c r="M322" s="15">
        <v>6.28</v>
      </c>
      <c r="N322" s="36">
        <f t="shared" si="71"/>
        <v>3.4713375796178343</v>
      </c>
    </row>
    <row r="323" spans="1:14" x14ac:dyDescent="0.15">
      <c r="A323" s="29"/>
      <c r="B323" s="29"/>
      <c r="C323" s="29"/>
      <c r="D323" s="29"/>
      <c r="E323" s="29"/>
      <c r="F323" s="29"/>
      <c r="G323" s="29"/>
      <c r="H323" s="15">
        <v>16</v>
      </c>
      <c r="I323" s="15">
        <v>17</v>
      </c>
      <c r="J323" s="15">
        <f t="shared" si="80"/>
        <v>22</v>
      </c>
      <c r="K323" s="15">
        <f t="shared" si="80"/>
        <v>23</v>
      </c>
      <c r="L323" s="15">
        <v>-12.98</v>
      </c>
      <c r="M323" s="15">
        <v>6.18</v>
      </c>
      <c r="N323" s="36">
        <f t="shared" si="71"/>
        <v>2.1003236245954695</v>
      </c>
    </row>
    <row r="324" spans="1:14" x14ac:dyDescent="0.15">
      <c r="A324" s="29"/>
      <c r="B324" s="29"/>
      <c r="C324" s="29"/>
      <c r="D324" s="29"/>
      <c r="E324" s="29"/>
      <c r="F324" s="29"/>
      <c r="G324" s="29"/>
      <c r="H324" s="15">
        <v>16</v>
      </c>
      <c r="I324" s="15">
        <v>17</v>
      </c>
      <c r="J324" s="15">
        <f t="shared" si="80"/>
        <v>23</v>
      </c>
      <c r="K324" s="15">
        <f t="shared" si="80"/>
        <v>24</v>
      </c>
      <c r="L324" s="15">
        <v>-8.1999999999999993</v>
      </c>
      <c r="M324" s="15">
        <v>6.24</v>
      </c>
      <c r="N324" s="36">
        <f t="shared" si="71"/>
        <v>1.3141025641025639</v>
      </c>
    </row>
    <row r="325" spans="1:14" x14ac:dyDescent="0.15">
      <c r="A325" s="29"/>
      <c r="B325" s="29"/>
      <c r="C325" s="29"/>
      <c r="D325" s="29"/>
      <c r="E325" s="29"/>
      <c r="F325" s="29"/>
      <c r="G325" s="29"/>
      <c r="H325" s="15">
        <v>16</v>
      </c>
      <c r="I325" s="15">
        <v>17</v>
      </c>
      <c r="J325" s="15">
        <f>J324+1</f>
        <v>24</v>
      </c>
      <c r="K325" s="15">
        <v>1</v>
      </c>
      <c r="L325" s="15">
        <v>-6.79</v>
      </c>
      <c r="M325" s="15">
        <v>6.17</v>
      </c>
      <c r="N325" s="36">
        <f t="shared" ref="N325:N388" si="81">-L325/M325</f>
        <v>1.100486223662885</v>
      </c>
    </row>
    <row r="326" spans="1:14" x14ac:dyDescent="0.15">
      <c r="A326" s="29"/>
      <c r="B326" s="29"/>
      <c r="C326" s="29"/>
      <c r="D326" s="29"/>
      <c r="E326" s="29"/>
      <c r="F326" s="29"/>
      <c r="G326" s="29"/>
      <c r="H326" s="15">
        <v>16</v>
      </c>
      <c r="I326" s="15">
        <v>17</v>
      </c>
      <c r="J326" s="15">
        <v>1</v>
      </c>
      <c r="K326" s="15">
        <f t="shared" ref="K326:K339" si="82">K325+1</f>
        <v>2</v>
      </c>
      <c r="L326" s="15">
        <v>-5.5</v>
      </c>
      <c r="M326" s="15">
        <v>6.43</v>
      </c>
      <c r="N326" s="36">
        <f t="shared" si="81"/>
        <v>0.85536547433903576</v>
      </c>
    </row>
    <row r="327" spans="1:14" x14ac:dyDescent="0.15">
      <c r="A327" s="29"/>
      <c r="B327" s="29"/>
      <c r="C327" s="29"/>
      <c r="D327" s="29"/>
      <c r="E327" s="29"/>
      <c r="F327" s="29"/>
      <c r="G327" s="29"/>
      <c r="H327" s="15">
        <v>16</v>
      </c>
      <c r="I327" s="15">
        <v>17</v>
      </c>
      <c r="J327" s="15">
        <f t="shared" ref="J327:J339" si="83">J326+1</f>
        <v>2</v>
      </c>
      <c r="K327" s="15">
        <f t="shared" si="82"/>
        <v>3</v>
      </c>
      <c r="L327" s="15">
        <v>-5.48</v>
      </c>
      <c r="M327" s="15">
        <v>6.66</v>
      </c>
      <c r="N327" s="36">
        <f t="shared" si="81"/>
        <v>0.82282282282282282</v>
      </c>
    </row>
    <row r="328" spans="1:14" x14ac:dyDescent="0.15">
      <c r="A328" s="29"/>
      <c r="B328" s="29"/>
      <c r="C328" s="29"/>
      <c r="D328" s="29"/>
      <c r="E328" s="29"/>
      <c r="F328" s="29"/>
      <c r="G328" s="29"/>
      <c r="H328" s="15">
        <v>16</v>
      </c>
      <c r="I328" s="15">
        <v>17</v>
      </c>
      <c r="J328" s="15">
        <f t="shared" si="83"/>
        <v>3</v>
      </c>
      <c r="K328" s="15">
        <f t="shared" si="82"/>
        <v>4</v>
      </c>
      <c r="L328" s="15">
        <v>-4.67</v>
      </c>
      <c r="M328" s="15">
        <v>6.46</v>
      </c>
      <c r="N328" s="36">
        <f t="shared" si="81"/>
        <v>0.72291021671826627</v>
      </c>
    </row>
    <row r="329" spans="1:14" x14ac:dyDescent="0.15">
      <c r="A329" s="29"/>
      <c r="B329" s="29"/>
      <c r="C329" s="29"/>
      <c r="D329" s="29"/>
      <c r="E329" s="29"/>
      <c r="F329" s="29"/>
      <c r="G329" s="29"/>
      <c r="H329" s="15">
        <v>16</v>
      </c>
      <c r="I329" s="15">
        <v>17</v>
      </c>
      <c r="J329" s="15">
        <f t="shared" si="83"/>
        <v>4</v>
      </c>
      <c r="K329" s="15">
        <f t="shared" si="82"/>
        <v>5</v>
      </c>
      <c r="L329" s="15">
        <v>-8.1199999999999992</v>
      </c>
      <c r="M329" s="15">
        <v>6.29</v>
      </c>
      <c r="N329" s="36">
        <f t="shared" si="81"/>
        <v>1.2909379968203496</v>
      </c>
    </row>
    <row r="330" spans="1:14" x14ac:dyDescent="0.15">
      <c r="A330" s="29"/>
      <c r="B330" s="29"/>
      <c r="C330" s="29"/>
      <c r="D330" s="29"/>
      <c r="E330" s="29"/>
      <c r="F330" s="29"/>
      <c r="G330" s="29"/>
      <c r="H330" s="15">
        <v>16</v>
      </c>
      <c r="I330" s="15">
        <v>17</v>
      </c>
      <c r="J330" s="15">
        <f t="shared" si="83"/>
        <v>5</v>
      </c>
      <c r="K330" s="15">
        <f t="shared" si="82"/>
        <v>6</v>
      </c>
      <c r="L330" s="15">
        <v>-3.82</v>
      </c>
      <c r="M330" s="15">
        <v>6.44</v>
      </c>
      <c r="N330" s="36">
        <f t="shared" si="81"/>
        <v>0.59316770186335399</v>
      </c>
    </row>
    <row r="331" spans="1:14" x14ac:dyDescent="0.15">
      <c r="A331" s="29"/>
      <c r="B331" s="29"/>
      <c r="C331" s="29"/>
      <c r="D331" s="29"/>
      <c r="E331" s="29"/>
      <c r="F331" s="29"/>
      <c r="G331" s="29"/>
      <c r="H331" s="15">
        <v>16</v>
      </c>
      <c r="I331" s="15">
        <v>17</v>
      </c>
      <c r="J331" s="15">
        <f t="shared" si="83"/>
        <v>6</v>
      </c>
      <c r="K331" s="15">
        <f t="shared" si="82"/>
        <v>7</v>
      </c>
      <c r="L331" s="15">
        <v>-4.99</v>
      </c>
      <c r="M331" s="15">
        <v>6.2</v>
      </c>
      <c r="N331" s="36">
        <f t="shared" si="81"/>
        <v>0.80483870967741933</v>
      </c>
    </row>
    <row r="332" spans="1:14" x14ac:dyDescent="0.15">
      <c r="A332" s="29"/>
      <c r="B332" s="29"/>
      <c r="C332" s="29"/>
      <c r="D332" s="29"/>
      <c r="E332" s="29"/>
      <c r="F332" s="29"/>
      <c r="G332" s="29"/>
      <c r="H332" s="15">
        <v>16</v>
      </c>
      <c r="I332" s="15">
        <v>17</v>
      </c>
      <c r="J332" s="15">
        <f t="shared" si="83"/>
        <v>7</v>
      </c>
      <c r="K332" s="15">
        <f t="shared" si="82"/>
        <v>8</v>
      </c>
      <c r="L332" s="15">
        <v>-5.51</v>
      </c>
      <c r="M332" s="15">
        <v>5.99</v>
      </c>
      <c r="N332" s="36">
        <f t="shared" si="81"/>
        <v>0.91986644407345564</v>
      </c>
    </row>
    <row r="333" spans="1:14" x14ac:dyDescent="0.15">
      <c r="A333" s="29"/>
      <c r="B333" s="29"/>
      <c r="C333" s="29"/>
      <c r="D333" s="29"/>
      <c r="E333" s="29"/>
      <c r="F333" s="29"/>
      <c r="G333" s="29"/>
      <c r="H333" s="15">
        <v>16</v>
      </c>
      <c r="I333" s="15">
        <v>17</v>
      </c>
      <c r="J333" s="15">
        <f t="shared" si="83"/>
        <v>8</v>
      </c>
      <c r="K333" s="15">
        <f t="shared" si="82"/>
        <v>9</v>
      </c>
      <c r="L333" s="15">
        <v>-7.03</v>
      </c>
      <c r="M333" s="15">
        <v>5.96</v>
      </c>
      <c r="N333" s="36">
        <f t="shared" si="81"/>
        <v>1.1795302013422819</v>
      </c>
    </row>
    <row r="334" spans="1:14" x14ac:dyDescent="0.15">
      <c r="A334" s="29"/>
      <c r="B334" s="29"/>
      <c r="C334" s="29"/>
      <c r="D334" s="29"/>
      <c r="E334" s="29"/>
      <c r="F334" s="29"/>
      <c r="G334" s="29"/>
      <c r="H334" s="15">
        <v>16</v>
      </c>
      <c r="I334" s="15">
        <v>17</v>
      </c>
      <c r="J334" s="15">
        <f t="shared" si="83"/>
        <v>9</v>
      </c>
      <c r="K334" s="15">
        <f t="shared" si="82"/>
        <v>10</v>
      </c>
      <c r="L334" s="15">
        <v>-9.75</v>
      </c>
      <c r="M334" s="15">
        <v>6.03</v>
      </c>
      <c r="N334" s="36">
        <f t="shared" si="81"/>
        <v>1.616915422885572</v>
      </c>
    </row>
    <row r="335" spans="1:14" x14ac:dyDescent="0.15">
      <c r="A335" s="29"/>
      <c r="B335" s="29"/>
      <c r="C335" s="29"/>
      <c r="D335" s="29"/>
      <c r="E335" s="29"/>
      <c r="F335" s="29"/>
      <c r="G335" s="29"/>
      <c r="H335" s="15">
        <v>16</v>
      </c>
      <c r="I335" s="15">
        <v>17</v>
      </c>
      <c r="J335" s="15">
        <f t="shared" si="83"/>
        <v>10</v>
      </c>
      <c r="K335" s="15">
        <f t="shared" si="82"/>
        <v>11</v>
      </c>
      <c r="L335" s="15">
        <v>-13.32</v>
      </c>
      <c r="M335" s="15">
        <v>5.97</v>
      </c>
      <c r="N335" s="36">
        <f t="shared" si="81"/>
        <v>2.2311557788944727</v>
      </c>
    </row>
    <row r="336" spans="1:14" x14ac:dyDescent="0.15">
      <c r="A336" s="29"/>
      <c r="B336" s="29"/>
      <c r="C336" s="29"/>
      <c r="D336" s="29"/>
      <c r="E336" s="29"/>
      <c r="F336" s="29"/>
      <c r="G336" s="29"/>
      <c r="H336" s="15">
        <v>16</v>
      </c>
      <c r="I336" s="15">
        <v>17</v>
      </c>
      <c r="J336" s="15">
        <f t="shared" si="83"/>
        <v>11</v>
      </c>
      <c r="K336" s="15">
        <f t="shared" si="82"/>
        <v>12</v>
      </c>
      <c r="L336" s="15">
        <v>-23</v>
      </c>
      <c r="M336" s="15">
        <v>5.86</v>
      </c>
      <c r="N336" s="36">
        <f t="shared" si="81"/>
        <v>3.9249146757679179</v>
      </c>
    </row>
    <row r="337" spans="1:14" x14ac:dyDescent="0.15">
      <c r="A337" s="29"/>
      <c r="B337" s="29"/>
      <c r="C337" s="29"/>
      <c r="D337" s="29"/>
      <c r="E337" s="29"/>
      <c r="F337" s="29"/>
      <c r="G337" s="29"/>
      <c r="H337" s="15">
        <v>16</v>
      </c>
      <c r="I337" s="15">
        <v>17</v>
      </c>
      <c r="J337" s="15">
        <f t="shared" si="83"/>
        <v>12</v>
      </c>
      <c r="K337" s="15">
        <f t="shared" si="82"/>
        <v>13</v>
      </c>
      <c r="L337" s="15">
        <v>-40.08</v>
      </c>
      <c r="M337" s="15">
        <v>5.99</v>
      </c>
      <c r="N337" s="36">
        <f t="shared" si="81"/>
        <v>6.691151919866444</v>
      </c>
    </row>
    <row r="338" spans="1:14" x14ac:dyDescent="0.15">
      <c r="A338" s="29"/>
      <c r="B338" s="29"/>
      <c r="C338" s="29"/>
      <c r="D338" s="29"/>
      <c r="E338" s="29"/>
      <c r="F338" s="29"/>
      <c r="G338" s="29"/>
      <c r="H338" s="15">
        <v>16</v>
      </c>
      <c r="I338" s="15">
        <v>17</v>
      </c>
      <c r="J338" s="15">
        <f t="shared" si="83"/>
        <v>13</v>
      </c>
      <c r="K338" s="15">
        <f t="shared" si="82"/>
        <v>14</v>
      </c>
      <c r="L338" s="15">
        <v>-104.01</v>
      </c>
      <c r="M338" s="15">
        <v>5.77</v>
      </c>
      <c r="N338" s="36">
        <f t="shared" si="81"/>
        <v>18.025996533795496</v>
      </c>
    </row>
    <row r="339" spans="1:14" x14ac:dyDescent="0.15">
      <c r="A339" s="29"/>
      <c r="B339" s="29"/>
      <c r="C339" s="29"/>
      <c r="D339" s="29"/>
      <c r="E339" s="29"/>
      <c r="F339" s="29"/>
      <c r="G339" s="29"/>
      <c r="H339" s="15">
        <v>16</v>
      </c>
      <c r="I339" s="15">
        <v>17</v>
      </c>
      <c r="J339" s="15">
        <f t="shared" si="83"/>
        <v>14</v>
      </c>
      <c r="K339" s="15">
        <f t="shared" si="82"/>
        <v>15</v>
      </c>
      <c r="L339" s="15">
        <v>-308.64999999999998</v>
      </c>
      <c r="M339" s="15">
        <v>5.67</v>
      </c>
      <c r="N339" s="36">
        <f t="shared" si="81"/>
        <v>54.435626102292765</v>
      </c>
    </row>
    <row r="340" spans="1:14" x14ac:dyDescent="0.15">
      <c r="A340" s="29"/>
      <c r="B340" s="29"/>
      <c r="C340" s="29"/>
      <c r="D340" s="29"/>
      <c r="E340" s="29"/>
      <c r="F340" s="29"/>
      <c r="G340" s="29"/>
      <c r="H340" s="15">
        <v>17</v>
      </c>
      <c r="I340" s="15">
        <v>18</v>
      </c>
      <c r="J340" s="15">
        <f>I340+1</f>
        <v>19</v>
      </c>
      <c r="K340" s="15">
        <f>J340+1</f>
        <v>20</v>
      </c>
      <c r="L340" s="15">
        <v>-481.06</v>
      </c>
      <c r="M340" s="15">
        <v>7.89</v>
      </c>
      <c r="N340" s="36">
        <f t="shared" si="81"/>
        <v>60.970849176172372</v>
      </c>
    </row>
    <row r="341" spans="1:14" x14ac:dyDescent="0.15">
      <c r="A341" s="29"/>
      <c r="B341" s="29"/>
      <c r="C341" s="29"/>
      <c r="D341" s="29"/>
      <c r="E341" s="29"/>
      <c r="F341" s="29"/>
      <c r="G341" s="29"/>
      <c r="H341" s="15">
        <v>17</v>
      </c>
      <c r="I341" s="15">
        <v>18</v>
      </c>
      <c r="J341" s="15">
        <f t="shared" ref="J341:K344" si="84">J340+1</f>
        <v>20</v>
      </c>
      <c r="K341" s="15">
        <f t="shared" si="84"/>
        <v>21</v>
      </c>
      <c r="L341" s="15">
        <v>-133.57</v>
      </c>
      <c r="M341" s="15">
        <v>7.71</v>
      </c>
      <c r="N341" s="36">
        <f t="shared" si="81"/>
        <v>17.324254215304798</v>
      </c>
    </row>
    <row r="342" spans="1:14" x14ac:dyDescent="0.15">
      <c r="A342" s="29"/>
      <c r="B342" s="29"/>
      <c r="C342" s="29"/>
      <c r="D342" s="29"/>
      <c r="E342" s="29"/>
      <c r="F342" s="29"/>
      <c r="G342" s="29"/>
      <c r="H342" s="15">
        <v>17</v>
      </c>
      <c r="I342" s="15">
        <v>18</v>
      </c>
      <c r="J342" s="15">
        <f t="shared" si="84"/>
        <v>21</v>
      </c>
      <c r="K342" s="15">
        <f t="shared" si="84"/>
        <v>22</v>
      </c>
      <c r="L342" s="15">
        <v>-54</v>
      </c>
      <c r="M342" s="15">
        <v>7.78</v>
      </c>
      <c r="N342" s="36">
        <f t="shared" si="81"/>
        <v>6.940874035989717</v>
      </c>
    </row>
    <row r="343" spans="1:14" x14ac:dyDescent="0.15">
      <c r="A343" s="29"/>
      <c r="B343" s="29"/>
      <c r="C343" s="29"/>
      <c r="D343" s="29"/>
      <c r="E343" s="29"/>
      <c r="F343" s="29"/>
      <c r="G343" s="29"/>
      <c r="H343" s="15">
        <v>17</v>
      </c>
      <c r="I343" s="15">
        <v>18</v>
      </c>
      <c r="J343" s="15">
        <f t="shared" si="84"/>
        <v>22</v>
      </c>
      <c r="K343" s="15">
        <f t="shared" si="84"/>
        <v>23</v>
      </c>
      <c r="L343" s="15">
        <v>-28.67</v>
      </c>
      <c r="M343" s="15">
        <v>7.54</v>
      </c>
      <c r="N343" s="36">
        <f t="shared" si="81"/>
        <v>3.8023872679045096</v>
      </c>
    </row>
    <row r="344" spans="1:14" x14ac:dyDescent="0.15">
      <c r="A344" s="29"/>
      <c r="B344" s="29"/>
      <c r="C344" s="29"/>
      <c r="D344" s="29"/>
      <c r="E344" s="29"/>
      <c r="F344" s="29"/>
      <c r="G344" s="29"/>
      <c r="H344" s="15">
        <v>17</v>
      </c>
      <c r="I344" s="15">
        <v>18</v>
      </c>
      <c r="J344" s="15">
        <f t="shared" si="84"/>
        <v>23</v>
      </c>
      <c r="K344" s="15">
        <f t="shared" si="84"/>
        <v>24</v>
      </c>
      <c r="L344" s="15">
        <v>-19.440000000000001</v>
      </c>
      <c r="M344" s="15">
        <v>7.81</v>
      </c>
      <c r="N344" s="36">
        <f t="shared" si="81"/>
        <v>2.4891165172855318</v>
      </c>
    </row>
    <row r="345" spans="1:14" x14ac:dyDescent="0.15">
      <c r="A345" s="29"/>
      <c r="B345" s="29"/>
      <c r="C345" s="29"/>
      <c r="D345" s="29"/>
      <c r="E345" s="29"/>
      <c r="F345" s="29"/>
      <c r="G345" s="29"/>
      <c r="H345" s="15">
        <v>17</v>
      </c>
      <c r="I345" s="15">
        <v>18</v>
      </c>
      <c r="J345" s="15">
        <f>J344+1</f>
        <v>24</v>
      </c>
      <c r="K345" s="15">
        <v>1</v>
      </c>
      <c r="L345" s="15">
        <v>-12.05</v>
      </c>
      <c r="M345" s="15">
        <v>7.57</v>
      </c>
      <c r="N345" s="36">
        <f t="shared" si="81"/>
        <v>1.5918097754293263</v>
      </c>
    </row>
    <row r="346" spans="1:14" x14ac:dyDescent="0.15">
      <c r="A346" s="29"/>
      <c r="B346" s="29"/>
      <c r="C346" s="29"/>
      <c r="D346" s="29"/>
      <c r="E346" s="29"/>
      <c r="F346" s="29"/>
      <c r="G346" s="29"/>
      <c r="H346" s="15">
        <v>17</v>
      </c>
      <c r="I346" s="15">
        <v>18</v>
      </c>
      <c r="J346" s="15">
        <v>1</v>
      </c>
      <c r="K346" s="15">
        <f t="shared" ref="K346:K360" si="85">K345+1</f>
        <v>2</v>
      </c>
      <c r="L346" s="15">
        <v>-10.54</v>
      </c>
      <c r="M346" s="15">
        <v>7.52</v>
      </c>
      <c r="N346" s="36">
        <f t="shared" si="81"/>
        <v>1.4015957446808511</v>
      </c>
    </row>
    <row r="347" spans="1:14" x14ac:dyDescent="0.15">
      <c r="A347" s="29"/>
      <c r="B347" s="29"/>
      <c r="C347" s="29"/>
      <c r="D347" s="29"/>
      <c r="E347" s="29"/>
      <c r="F347" s="29"/>
      <c r="G347" s="29"/>
      <c r="H347" s="15">
        <v>17</v>
      </c>
      <c r="I347" s="15">
        <v>18</v>
      </c>
      <c r="J347" s="15">
        <f t="shared" ref="J347:J360" si="86">J346+1</f>
        <v>2</v>
      </c>
      <c r="K347" s="15">
        <f t="shared" si="85"/>
        <v>3</v>
      </c>
      <c r="L347" s="15">
        <v>-9.99</v>
      </c>
      <c r="M347" s="15">
        <v>7.55</v>
      </c>
      <c r="N347" s="36">
        <f t="shared" si="81"/>
        <v>1.3231788079470199</v>
      </c>
    </row>
    <row r="348" spans="1:14" x14ac:dyDescent="0.15">
      <c r="A348" s="29"/>
      <c r="B348" s="29"/>
      <c r="C348" s="29"/>
      <c r="D348" s="29"/>
      <c r="E348" s="29"/>
      <c r="F348" s="29"/>
      <c r="G348" s="29"/>
      <c r="H348" s="15">
        <v>17</v>
      </c>
      <c r="I348" s="15">
        <v>18</v>
      </c>
      <c r="J348" s="15">
        <f t="shared" si="86"/>
        <v>3</v>
      </c>
      <c r="K348" s="15">
        <f t="shared" si="85"/>
        <v>4</v>
      </c>
      <c r="L348" s="15">
        <v>-7.17</v>
      </c>
      <c r="M348" s="15">
        <v>7.54</v>
      </c>
      <c r="N348" s="36">
        <f t="shared" si="81"/>
        <v>0.95092838196286467</v>
      </c>
    </row>
    <row r="349" spans="1:14" x14ac:dyDescent="0.15">
      <c r="A349" s="29"/>
      <c r="B349" s="29"/>
      <c r="C349" s="29"/>
      <c r="D349" s="29"/>
      <c r="E349" s="29"/>
      <c r="F349" s="29"/>
      <c r="G349" s="29"/>
      <c r="H349" s="15">
        <v>17</v>
      </c>
      <c r="I349" s="15">
        <v>18</v>
      </c>
      <c r="J349" s="15">
        <f t="shared" si="86"/>
        <v>4</v>
      </c>
      <c r="K349" s="15">
        <f t="shared" si="85"/>
        <v>5</v>
      </c>
      <c r="L349" s="36">
        <v>-20.02</v>
      </c>
      <c r="M349" s="15">
        <v>7.37</v>
      </c>
      <c r="N349" s="36">
        <f t="shared" si="81"/>
        <v>2.716417910447761</v>
      </c>
    </row>
    <row r="350" spans="1:14" x14ac:dyDescent="0.15">
      <c r="A350" s="29"/>
      <c r="B350" s="29"/>
      <c r="C350" s="29"/>
      <c r="D350" s="29"/>
      <c r="E350" s="29"/>
      <c r="F350" s="29"/>
      <c r="G350" s="29"/>
      <c r="H350" s="15">
        <v>17</v>
      </c>
      <c r="I350" s="15">
        <v>18</v>
      </c>
      <c r="J350" s="15">
        <f t="shared" si="86"/>
        <v>5</v>
      </c>
      <c r="K350" s="15">
        <f t="shared" si="85"/>
        <v>6</v>
      </c>
      <c r="L350" s="15">
        <v>-4.92</v>
      </c>
      <c r="M350" s="15">
        <v>7.73</v>
      </c>
      <c r="N350" s="36">
        <f t="shared" si="81"/>
        <v>0.6364812419146183</v>
      </c>
    </row>
    <row r="351" spans="1:14" x14ac:dyDescent="0.15">
      <c r="A351" s="29"/>
      <c r="B351" s="29"/>
      <c r="C351" s="29"/>
      <c r="D351" s="29"/>
      <c r="E351" s="29"/>
      <c r="F351" s="29"/>
      <c r="G351" s="29"/>
      <c r="H351" s="15">
        <v>17</v>
      </c>
      <c r="I351" s="15">
        <v>18</v>
      </c>
      <c r="J351" s="15">
        <f t="shared" si="86"/>
        <v>6</v>
      </c>
      <c r="K351" s="15">
        <f t="shared" si="85"/>
        <v>7</v>
      </c>
      <c r="L351" s="15">
        <v>-7.54</v>
      </c>
      <c r="M351" s="15">
        <v>7.84</v>
      </c>
      <c r="N351" s="36">
        <f t="shared" si="81"/>
        <v>0.96173469387755106</v>
      </c>
    </row>
    <row r="352" spans="1:14" x14ac:dyDescent="0.15">
      <c r="A352" s="29"/>
      <c r="B352" s="29"/>
      <c r="C352" s="29"/>
      <c r="D352" s="29"/>
      <c r="E352" s="29"/>
      <c r="F352" s="29"/>
      <c r="G352" s="29"/>
      <c r="H352" s="15">
        <v>17</v>
      </c>
      <c r="I352" s="15">
        <v>18</v>
      </c>
      <c r="J352" s="15">
        <f t="shared" si="86"/>
        <v>7</v>
      </c>
      <c r="K352" s="15">
        <f t="shared" si="85"/>
        <v>8</v>
      </c>
      <c r="L352" s="15">
        <v>-8.69</v>
      </c>
      <c r="M352" s="15">
        <v>6.99</v>
      </c>
      <c r="N352" s="36">
        <f t="shared" si="81"/>
        <v>1.2432045779685263</v>
      </c>
    </row>
    <row r="353" spans="1:14" x14ac:dyDescent="0.15">
      <c r="A353" s="29"/>
      <c r="B353" s="29"/>
      <c r="C353" s="29"/>
      <c r="D353" s="29"/>
      <c r="E353" s="29"/>
      <c r="F353" s="29"/>
      <c r="G353" s="29"/>
      <c r="H353" s="15">
        <v>17</v>
      </c>
      <c r="I353" s="15">
        <v>18</v>
      </c>
      <c r="J353" s="15">
        <f t="shared" si="86"/>
        <v>8</v>
      </c>
      <c r="K353" s="15">
        <f t="shared" si="85"/>
        <v>9</v>
      </c>
      <c r="L353" s="15">
        <v>-8.83</v>
      </c>
      <c r="M353" s="15">
        <v>6.61</v>
      </c>
      <c r="N353" s="36">
        <f t="shared" si="81"/>
        <v>1.3358547655068078</v>
      </c>
    </row>
    <row r="354" spans="1:14" x14ac:dyDescent="0.15">
      <c r="A354" s="29"/>
      <c r="B354" s="29"/>
      <c r="C354" s="29"/>
      <c r="D354" s="29"/>
      <c r="E354" s="29"/>
      <c r="F354" s="29"/>
      <c r="G354" s="29"/>
      <c r="H354" s="15">
        <v>17</v>
      </c>
      <c r="I354" s="15">
        <v>18</v>
      </c>
      <c r="J354" s="15">
        <f t="shared" si="86"/>
        <v>9</v>
      </c>
      <c r="K354" s="15">
        <f t="shared" si="85"/>
        <v>10</v>
      </c>
      <c r="L354" s="15">
        <v>-8.33</v>
      </c>
      <c r="M354" s="15">
        <v>6.32</v>
      </c>
      <c r="N354" s="36">
        <f t="shared" si="81"/>
        <v>1.3180379746835442</v>
      </c>
    </row>
    <row r="355" spans="1:14" x14ac:dyDescent="0.15">
      <c r="A355" s="29"/>
      <c r="B355" s="29"/>
      <c r="C355" s="29"/>
      <c r="D355" s="29"/>
      <c r="E355" s="29"/>
      <c r="F355" s="29"/>
      <c r="G355" s="29"/>
      <c r="H355" s="15">
        <v>17</v>
      </c>
      <c r="I355" s="15">
        <v>18</v>
      </c>
      <c r="J355" s="15">
        <f t="shared" si="86"/>
        <v>10</v>
      </c>
      <c r="K355" s="15">
        <f t="shared" si="85"/>
        <v>11</v>
      </c>
      <c r="L355" s="15">
        <v>-12.48</v>
      </c>
      <c r="M355" s="15">
        <v>6.25</v>
      </c>
      <c r="N355" s="36">
        <f t="shared" si="81"/>
        <v>1.9968000000000001</v>
      </c>
    </row>
    <row r="356" spans="1:14" x14ac:dyDescent="0.15">
      <c r="A356" s="29"/>
      <c r="B356" s="29"/>
      <c r="C356" s="29"/>
      <c r="D356" s="29"/>
      <c r="E356" s="29"/>
      <c r="F356" s="29"/>
      <c r="G356" s="29"/>
      <c r="H356" s="15">
        <v>17</v>
      </c>
      <c r="I356" s="15">
        <v>18</v>
      </c>
      <c r="J356" s="15">
        <f t="shared" si="86"/>
        <v>11</v>
      </c>
      <c r="K356" s="15">
        <f t="shared" si="85"/>
        <v>12</v>
      </c>
      <c r="L356" s="15">
        <v>-16.8</v>
      </c>
      <c r="M356" s="15">
        <v>6.49</v>
      </c>
      <c r="N356" s="36">
        <f t="shared" si="81"/>
        <v>2.5885978428351311</v>
      </c>
    </row>
    <row r="357" spans="1:14" x14ac:dyDescent="0.15">
      <c r="A357" s="29"/>
      <c r="B357" s="29"/>
      <c r="C357" s="29"/>
      <c r="D357" s="29"/>
      <c r="E357" s="29"/>
      <c r="F357" s="29"/>
      <c r="G357" s="29"/>
      <c r="H357" s="15">
        <v>17</v>
      </c>
      <c r="I357" s="15">
        <v>18</v>
      </c>
      <c r="J357" s="15">
        <f t="shared" si="86"/>
        <v>12</v>
      </c>
      <c r="K357" s="15">
        <f t="shared" si="85"/>
        <v>13</v>
      </c>
      <c r="L357" s="15">
        <v>-25.27</v>
      </c>
      <c r="M357" s="15">
        <v>6.17</v>
      </c>
      <c r="N357" s="36">
        <f t="shared" si="81"/>
        <v>4.0956239870340356</v>
      </c>
    </row>
    <row r="358" spans="1:14" x14ac:dyDescent="0.15">
      <c r="A358" s="29"/>
      <c r="B358" s="29"/>
      <c r="C358" s="29"/>
      <c r="D358" s="29"/>
      <c r="E358" s="29"/>
      <c r="F358" s="29"/>
      <c r="G358" s="29"/>
      <c r="H358" s="15">
        <v>17</v>
      </c>
      <c r="I358" s="15">
        <v>18</v>
      </c>
      <c r="J358" s="15">
        <f t="shared" si="86"/>
        <v>13</v>
      </c>
      <c r="K358" s="15">
        <f t="shared" si="85"/>
        <v>14</v>
      </c>
      <c r="L358" s="15">
        <v>-51.81</v>
      </c>
      <c r="M358" s="15">
        <v>6.36</v>
      </c>
      <c r="N358" s="36">
        <f t="shared" si="81"/>
        <v>8.1462264150943398</v>
      </c>
    </row>
    <row r="359" spans="1:14" x14ac:dyDescent="0.15">
      <c r="A359" s="29"/>
      <c r="B359" s="29"/>
      <c r="C359" s="29"/>
      <c r="D359" s="29"/>
      <c r="E359" s="29"/>
      <c r="F359" s="29"/>
      <c r="G359" s="29"/>
      <c r="H359" s="15">
        <v>17</v>
      </c>
      <c r="I359" s="15">
        <v>18</v>
      </c>
      <c r="J359" s="15">
        <f t="shared" si="86"/>
        <v>14</v>
      </c>
      <c r="K359" s="15">
        <f t="shared" si="85"/>
        <v>15</v>
      </c>
      <c r="L359" s="15">
        <v>-121.44</v>
      </c>
      <c r="M359" s="15">
        <v>6.48</v>
      </c>
      <c r="N359" s="36">
        <f t="shared" si="81"/>
        <v>18.74074074074074</v>
      </c>
    </row>
    <row r="360" spans="1:14" x14ac:dyDescent="0.15">
      <c r="A360" s="29"/>
      <c r="B360" s="29"/>
      <c r="C360" s="29"/>
      <c r="D360" s="29"/>
      <c r="E360" s="29"/>
      <c r="F360" s="29"/>
      <c r="G360" s="29"/>
      <c r="H360" s="15">
        <v>17</v>
      </c>
      <c r="I360" s="15">
        <v>18</v>
      </c>
      <c r="J360" s="15">
        <f t="shared" si="86"/>
        <v>15</v>
      </c>
      <c r="K360" s="15">
        <f t="shared" si="85"/>
        <v>16</v>
      </c>
      <c r="L360" s="15">
        <v>-406.4</v>
      </c>
      <c r="M360" s="15">
        <v>6.41</v>
      </c>
      <c r="N360" s="36">
        <f t="shared" si="81"/>
        <v>63.40093603744149</v>
      </c>
    </row>
    <row r="361" spans="1:14" x14ac:dyDescent="0.15">
      <c r="A361" s="29"/>
      <c r="B361" s="29"/>
      <c r="C361" s="29"/>
      <c r="D361" s="29"/>
      <c r="E361" s="29"/>
      <c r="F361" s="29"/>
      <c r="G361" s="29"/>
      <c r="H361" s="15">
        <v>18</v>
      </c>
      <c r="I361" s="15">
        <v>19</v>
      </c>
      <c r="J361" s="15">
        <f>I361+1</f>
        <v>20</v>
      </c>
      <c r="K361" s="15">
        <f>J361+1</f>
        <v>21</v>
      </c>
      <c r="L361" s="15">
        <v>-560.21</v>
      </c>
      <c r="M361" s="15">
        <v>8</v>
      </c>
      <c r="N361" s="36">
        <f t="shared" si="81"/>
        <v>70.026250000000005</v>
      </c>
    </row>
    <row r="362" spans="1:14" x14ac:dyDescent="0.15">
      <c r="A362" s="29"/>
      <c r="B362" s="29"/>
      <c r="C362" s="29"/>
      <c r="D362" s="29"/>
      <c r="E362" s="29"/>
      <c r="F362" s="29"/>
      <c r="G362" s="29"/>
      <c r="H362" s="15">
        <v>18</v>
      </c>
      <c r="I362" s="15">
        <v>19</v>
      </c>
      <c r="J362" s="15">
        <f t="shared" ref="J362:K364" si="87">J361+1</f>
        <v>21</v>
      </c>
      <c r="K362" s="15">
        <f t="shared" si="87"/>
        <v>22</v>
      </c>
      <c r="L362" s="15">
        <v>-141.12</v>
      </c>
      <c r="M362" s="15">
        <v>8.06</v>
      </c>
      <c r="N362" s="36">
        <f t="shared" si="81"/>
        <v>17.508684863523573</v>
      </c>
    </row>
    <row r="363" spans="1:14" x14ac:dyDescent="0.15">
      <c r="A363" s="29"/>
      <c r="B363" s="29"/>
      <c r="C363" s="29"/>
      <c r="D363" s="29"/>
      <c r="E363" s="29"/>
      <c r="F363" s="29"/>
      <c r="G363" s="29"/>
      <c r="H363" s="15">
        <v>18</v>
      </c>
      <c r="I363" s="15">
        <v>19</v>
      </c>
      <c r="J363" s="15">
        <f t="shared" si="87"/>
        <v>22</v>
      </c>
      <c r="K363" s="15">
        <f t="shared" si="87"/>
        <v>23</v>
      </c>
      <c r="L363" s="15">
        <v>-57.53</v>
      </c>
      <c r="M363" s="15">
        <v>7.78</v>
      </c>
      <c r="N363" s="36">
        <f t="shared" si="81"/>
        <v>7.394601542416452</v>
      </c>
    </row>
    <row r="364" spans="1:14" x14ac:dyDescent="0.15">
      <c r="A364" s="29"/>
      <c r="B364" s="29"/>
      <c r="C364" s="29"/>
      <c r="D364" s="29"/>
      <c r="E364" s="29"/>
      <c r="F364" s="29"/>
      <c r="G364" s="29"/>
      <c r="H364" s="15">
        <v>18</v>
      </c>
      <c r="I364" s="15">
        <v>19</v>
      </c>
      <c r="J364" s="15">
        <f t="shared" si="87"/>
        <v>23</v>
      </c>
      <c r="K364" s="15">
        <f t="shared" si="87"/>
        <v>24</v>
      </c>
      <c r="L364" s="15">
        <v>-29.31</v>
      </c>
      <c r="M364" s="15">
        <v>7.81</v>
      </c>
      <c r="N364" s="36">
        <f t="shared" si="81"/>
        <v>3.7528809218950063</v>
      </c>
    </row>
    <row r="365" spans="1:14" x14ac:dyDescent="0.15">
      <c r="A365" s="29"/>
      <c r="B365" s="29"/>
      <c r="C365" s="29"/>
      <c r="D365" s="29"/>
      <c r="E365" s="29"/>
      <c r="F365" s="29"/>
      <c r="G365" s="29"/>
      <c r="H365" s="15">
        <v>18</v>
      </c>
      <c r="I365" s="15">
        <v>19</v>
      </c>
      <c r="J365" s="15">
        <f>J364+1</f>
        <v>24</v>
      </c>
      <c r="K365" s="15">
        <v>1</v>
      </c>
      <c r="L365" s="15">
        <v>-19.420000000000002</v>
      </c>
      <c r="M365" s="15">
        <v>7.72</v>
      </c>
      <c r="N365" s="36">
        <f t="shared" si="81"/>
        <v>2.5155440414507777</v>
      </c>
    </row>
    <row r="366" spans="1:14" x14ac:dyDescent="0.15">
      <c r="A366" s="29"/>
      <c r="B366" s="29"/>
      <c r="C366" s="29"/>
      <c r="D366" s="29"/>
      <c r="E366" s="29"/>
      <c r="F366" s="29"/>
      <c r="G366" s="29"/>
      <c r="H366" s="15">
        <v>18</v>
      </c>
      <c r="I366" s="15">
        <v>19</v>
      </c>
      <c r="J366" s="15">
        <v>1</v>
      </c>
      <c r="K366" s="15">
        <f t="shared" ref="K366:K381" si="88">K365+1</f>
        <v>2</v>
      </c>
      <c r="L366" s="15">
        <v>-14.4</v>
      </c>
      <c r="M366" s="15">
        <v>8.7799999999999994</v>
      </c>
      <c r="N366" s="36">
        <f t="shared" si="81"/>
        <v>1.6400911161731209</v>
      </c>
    </row>
    <row r="367" spans="1:14" x14ac:dyDescent="0.15">
      <c r="A367" s="29"/>
      <c r="B367" s="29"/>
      <c r="C367" s="29"/>
      <c r="D367" s="29"/>
      <c r="E367" s="29"/>
      <c r="F367" s="29"/>
      <c r="G367" s="29"/>
      <c r="H367" s="15">
        <v>18</v>
      </c>
      <c r="I367" s="15">
        <v>19</v>
      </c>
      <c r="J367" s="15">
        <f t="shared" ref="J367:J381" si="89">J366+1</f>
        <v>2</v>
      </c>
      <c r="K367" s="15">
        <f t="shared" si="88"/>
        <v>3</v>
      </c>
      <c r="L367" s="15">
        <v>-10.14</v>
      </c>
      <c r="M367" s="15">
        <v>9.09</v>
      </c>
      <c r="N367" s="36">
        <f t="shared" si="81"/>
        <v>1.1155115511551157</v>
      </c>
    </row>
    <row r="368" spans="1:14" x14ac:dyDescent="0.15">
      <c r="A368" s="29"/>
      <c r="B368" s="29"/>
      <c r="C368" s="29"/>
      <c r="D368" s="29"/>
      <c r="E368" s="29"/>
      <c r="F368" s="29"/>
      <c r="G368" s="29"/>
      <c r="H368" s="15">
        <v>18</v>
      </c>
      <c r="I368" s="15">
        <v>19</v>
      </c>
      <c r="J368" s="15">
        <f t="shared" si="89"/>
        <v>3</v>
      </c>
      <c r="K368" s="15">
        <f t="shared" si="88"/>
        <v>4</v>
      </c>
      <c r="L368" s="15">
        <v>-8.36</v>
      </c>
      <c r="M368" s="15">
        <v>8.93</v>
      </c>
      <c r="N368" s="36">
        <f t="shared" si="81"/>
        <v>0.93617021276595747</v>
      </c>
    </row>
    <row r="369" spans="1:14" x14ac:dyDescent="0.15">
      <c r="A369" s="29"/>
      <c r="B369" s="29"/>
      <c r="C369" s="29"/>
      <c r="D369" s="29"/>
      <c r="E369" s="29"/>
      <c r="F369" s="29"/>
      <c r="G369" s="29"/>
      <c r="H369" s="15">
        <v>18</v>
      </c>
      <c r="I369" s="15">
        <v>19</v>
      </c>
      <c r="J369" s="15">
        <f t="shared" si="89"/>
        <v>4</v>
      </c>
      <c r="K369" s="15">
        <f t="shared" si="88"/>
        <v>5</v>
      </c>
      <c r="L369" s="15">
        <v>-6.74</v>
      </c>
      <c r="M369" s="15">
        <v>8.94</v>
      </c>
      <c r="N369" s="36">
        <f t="shared" si="81"/>
        <v>0.75391498881431773</v>
      </c>
    </row>
    <row r="370" spans="1:14" x14ac:dyDescent="0.15">
      <c r="A370" s="29"/>
      <c r="B370" s="29"/>
      <c r="C370" s="29"/>
      <c r="D370" s="29"/>
      <c r="E370" s="29"/>
      <c r="F370" s="29"/>
      <c r="G370" s="29"/>
      <c r="H370" s="15">
        <v>18</v>
      </c>
      <c r="I370" s="15">
        <v>19</v>
      </c>
      <c r="J370" s="15">
        <f t="shared" si="89"/>
        <v>5</v>
      </c>
      <c r="K370" s="15">
        <f t="shared" si="88"/>
        <v>6</v>
      </c>
      <c r="L370" s="15">
        <v>-5.63</v>
      </c>
      <c r="M370" s="15">
        <v>8.9600000000000009</v>
      </c>
      <c r="N370" s="36">
        <f t="shared" si="81"/>
        <v>0.62834821428571419</v>
      </c>
    </row>
    <row r="371" spans="1:14" x14ac:dyDescent="0.15">
      <c r="A371" s="29"/>
      <c r="B371" s="29"/>
      <c r="C371" s="29"/>
      <c r="D371" s="29"/>
      <c r="E371" s="29"/>
      <c r="F371" s="29"/>
      <c r="G371" s="29"/>
      <c r="H371" s="15">
        <v>18</v>
      </c>
      <c r="I371" s="15">
        <v>19</v>
      </c>
      <c r="J371" s="15">
        <f t="shared" si="89"/>
        <v>6</v>
      </c>
      <c r="K371" s="15">
        <f t="shared" si="88"/>
        <v>7</v>
      </c>
      <c r="L371" s="15">
        <v>-6.81</v>
      </c>
      <c r="M371" s="15">
        <v>9.23</v>
      </c>
      <c r="N371" s="36">
        <f t="shared" si="81"/>
        <v>0.73781148429035748</v>
      </c>
    </row>
    <row r="372" spans="1:14" x14ac:dyDescent="0.15">
      <c r="A372" s="29"/>
      <c r="B372" s="29"/>
      <c r="C372" s="29"/>
      <c r="D372" s="29"/>
      <c r="E372" s="29"/>
      <c r="F372" s="29"/>
      <c r="G372" s="29"/>
      <c r="H372" s="15">
        <v>18</v>
      </c>
      <c r="I372" s="15">
        <v>19</v>
      </c>
      <c r="J372" s="15">
        <f t="shared" si="89"/>
        <v>7</v>
      </c>
      <c r="K372" s="15">
        <f t="shared" si="88"/>
        <v>8</v>
      </c>
      <c r="L372" s="15">
        <v>-6.04</v>
      </c>
      <c r="M372" s="15">
        <v>8.75</v>
      </c>
      <c r="N372" s="36">
        <f t="shared" si="81"/>
        <v>0.69028571428571428</v>
      </c>
    </row>
    <row r="373" spans="1:14" x14ac:dyDescent="0.15">
      <c r="A373" s="29"/>
      <c r="B373" s="29"/>
      <c r="C373" s="29"/>
      <c r="D373" s="29"/>
      <c r="E373" s="29"/>
      <c r="F373" s="29"/>
      <c r="G373" s="29"/>
      <c r="H373" s="15">
        <v>18</v>
      </c>
      <c r="I373" s="15">
        <v>19</v>
      </c>
      <c r="J373" s="15">
        <f t="shared" si="89"/>
        <v>8</v>
      </c>
      <c r="K373" s="15">
        <f t="shared" si="88"/>
        <v>9</v>
      </c>
      <c r="L373" s="15">
        <v>-6.74</v>
      </c>
      <c r="M373" s="15">
        <v>8.61</v>
      </c>
      <c r="N373" s="36">
        <f t="shared" si="81"/>
        <v>0.78281068524970976</v>
      </c>
    </row>
    <row r="374" spans="1:14" x14ac:dyDescent="0.15">
      <c r="A374" s="29"/>
      <c r="B374" s="29"/>
      <c r="C374" s="29"/>
      <c r="D374" s="29"/>
      <c r="E374" s="29"/>
      <c r="F374" s="29"/>
      <c r="G374" s="29"/>
      <c r="H374" s="15">
        <v>18</v>
      </c>
      <c r="I374" s="15">
        <v>19</v>
      </c>
      <c r="J374" s="15">
        <f t="shared" si="89"/>
        <v>9</v>
      </c>
      <c r="K374" s="15">
        <f t="shared" si="88"/>
        <v>10</v>
      </c>
      <c r="L374" s="15">
        <v>-8.3800000000000008</v>
      </c>
      <c r="M374" s="15">
        <v>8.67</v>
      </c>
      <c r="N374" s="36">
        <f t="shared" si="81"/>
        <v>0.96655132641291819</v>
      </c>
    </row>
    <row r="375" spans="1:14" x14ac:dyDescent="0.15">
      <c r="A375" s="29"/>
      <c r="B375" s="29"/>
      <c r="C375" s="29"/>
      <c r="D375" s="29"/>
      <c r="E375" s="29"/>
      <c r="F375" s="29"/>
      <c r="G375" s="29"/>
      <c r="H375" s="15">
        <v>18</v>
      </c>
      <c r="I375" s="15">
        <v>19</v>
      </c>
      <c r="J375" s="15">
        <f t="shared" si="89"/>
        <v>10</v>
      </c>
      <c r="K375" s="15">
        <f t="shared" si="88"/>
        <v>11</v>
      </c>
      <c r="L375" s="15">
        <v>-10.45</v>
      </c>
      <c r="M375" s="15">
        <v>8.58</v>
      </c>
      <c r="N375" s="36">
        <f t="shared" si="81"/>
        <v>1.2179487179487178</v>
      </c>
    </row>
    <row r="376" spans="1:14" x14ac:dyDescent="0.15">
      <c r="A376" s="29"/>
      <c r="B376" s="29"/>
      <c r="C376" s="29"/>
      <c r="D376" s="29"/>
      <c r="E376" s="29"/>
      <c r="F376" s="29"/>
      <c r="G376" s="29"/>
      <c r="H376" s="15">
        <v>18</v>
      </c>
      <c r="I376" s="15">
        <v>19</v>
      </c>
      <c r="J376" s="15">
        <f t="shared" si="89"/>
        <v>11</v>
      </c>
      <c r="K376" s="15">
        <f t="shared" si="88"/>
        <v>12</v>
      </c>
      <c r="L376" s="15">
        <v>-14.18</v>
      </c>
      <c r="M376" s="15">
        <v>8.49</v>
      </c>
      <c r="N376" s="36">
        <f t="shared" si="81"/>
        <v>1.6702002355712602</v>
      </c>
    </row>
    <row r="377" spans="1:14" x14ac:dyDescent="0.15">
      <c r="A377" s="29"/>
      <c r="B377" s="29"/>
      <c r="C377" s="29"/>
      <c r="D377" s="29"/>
      <c r="E377" s="29"/>
      <c r="F377" s="29"/>
      <c r="G377" s="29"/>
      <c r="H377" s="15">
        <v>18</v>
      </c>
      <c r="I377" s="15">
        <v>19</v>
      </c>
      <c r="J377" s="15">
        <f t="shared" si="89"/>
        <v>12</v>
      </c>
      <c r="K377" s="15">
        <f t="shared" si="88"/>
        <v>13</v>
      </c>
      <c r="L377" s="15">
        <v>-19.149999999999999</v>
      </c>
      <c r="M377" s="15">
        <v>8.66</v>
      </c>
      <c r="N377" s="36">
        <f t="shared" si="81"/>
        <v>2.2113163972286372</v>
      </c>
    </row>
    <row r="378" spans="1:14" x14ac:dyDescent="0.15">
      <c r="A378" s="29"/>
      <c r="B378" s="29"/>
      <c r="C378" s="29"/>
      <c r="D378" s="29"/>
      <c r="E378" s="29"/>
      <c r="F378" s="29"/>
      <c r="G378" s="29"/>
      <c r="H378" s="15">
        <v>18</v>
      </c>
      <c r="I378" s="15">
        <v>19</v>
      </c>
      <c r="J378" s="15">
        <f t="shared" si="89"/>
        <v>13</v>
      </c>
      <c r="K378" s="15">
        <f t="shared" si="88"/>
        <v>14</v>
      </c>
      <c r="L378" s="15">
        <v>-34.69</v>
      </c>
      <c r="M378" s="15">
        <v>8.58</v>
      </c>
      <c r="N378" s="36">
        <f t="shared" si="81"/>
        <v>4.0431235431235431</v>
      </c>
    </row>
    <row r="379" spans="1:14" x14ac:dyDescent="0.15">
      <c r="A379" s="29"/>
      <c r="B379" s="29"/>
      <c r="C379" s="29"/>
      <c r="D379" s="29"/>
      <c r="E379" s="29"/>
      <c r="F379" s="29"/>
      <c r="G379" s="29"/>
      <c r="H379" s="15">
        <v>18</v>
      </c>
      <c r="I379" s="15">
        <v>19</v>
      </c>
      <c r="J379" s="15">
        <f t="shared" si="89"/>
        <v>14</v>
      </c>
      <c r="K379" s="15">
        <f t="shared" si="88"/>
        <v>15</v>
      </c>
      <c r="L379" s="15">
        <v>-49.66</v>
      </c>
      <c r="M379" s="15">
        <v>8.31</v>
      </c>
      <c r="N379" s="36">
        <f t="shared" si="81"/>
        <v>5.9759326113116717</v>
      </c>
    </row>
    <row r="380" spans="1:14" x14ac:dyDescent="0.15">
      <c r="A380" s="29"/>
      <c r="B380" s="29"/>
      <c r="C380" s="29"/>
      <c r="D380" s="29"/>
      <c r="E380" s="29"/>
      <c r="F380" s="29"/>
      <c r="G380" s="29"/>
      <c r="H380" s="15">
        <v>18</v>
      </c>
      <c r="I380" s="15">
        <v>19</v>
      </c>
      <c r="J380" s="15">
        <f t="shared" si="89"/>
        <v>15</v>
      </c>
      <c r="K380" s="15">
        <f t="shared" si="88"/>
        <v>16</v>
      </c>
      <c r="L380" s="15">
        <v>-130.52000000000001</v>
      </c>
      <c r="M380" s="15">
        <v>8.33</v>
      </c>
      <c r="N380" s="36">
        <f t="shared" si="81"/>
        <v>15.668667466986795</v>
      </c>
    </row>
    <row r="381" spans="1:14" x14ac:dyDescent="0.15">
      <c r="A381" s="29"/>
      <c r="B381" s="29"/>
      <c r="C381" s="29"/>
      <c r="D381" s="29"/>
      <c r="E381" s="29"/>
      <c r="F381" s="29"/>
      <c r="G381" s="29"/>
      <c r="H381" s="15">
        <v>18</v>
      </c>
      <c r="I381" s="15">
        <v>19</v>
      </c>
      <c r="J381" s="15">
        <f t="shared" si="89"/>
        <v>16</v>
      </c>
      <c r="K381" s="15">
        <f t="shared" si="88"/>
        <v>17</v>
      </c>
      <c r="L381" s="15">
        <v>-563.66</v>
      </c>
      <c r="M381" s="15">
        <v>8.25</v>
      </c>
      <c r="N381" s="36">
        <f t="shared" si="81"/>
        <v>68.322424242424233</v>
      </c>
    </row>
    <row r="382" spans="1:14" x14ac:dyDescent="0.15">
      <c r="A382" s="29"/>
      <c r="B382" s="29"/>
      <c r="C382" s="29"/>
      <c r="D382" s="29"/>
      <c r="E382" s="29"/>
      <c r="F382" s="29"/>
      <c r="G382" s="29"/>
      <c r="H382" s="15">
        <v>19</v>
      </c>
      <c r="I382" s="15">
        <v>20</v>
      </c>
      <c r="J382" s="15">
        <f>I382+1</f>
        <v>21</v>
      </c>
      <c r="K382" s="15">
        <f>J382+1</f>
        <v>22</v>
      </c>
      <c r="L382" s="15">
        <v>-287.04000000000002</v>
      </c>
      <c r="M382" s="15">
        <v>4.47</v>
      </c>
      <c r="N382" s="36">
        <f t="shared" si="81"/>
        <v>64.214765100671144</v>
      </c>
    </row>
    <row r="383" spans="1:14" x14ac:dyDescent="0.15">
      <c r="A383" s="29"/>
      <c r="B383" s="29"/>
      <c r="C383" s="29"/>
      <c r="D383" s="29"/>
      <c r="E383" s="29"/>
      <c r="F383" s="29"/>
      <c r="G383" s="29"/>
      <c r="H383" s="15">
        <v>19</v>
      </c>
      <c r="I383" s="15">
        <v>20</v>
      </c>
      <c r="J383" s="15">
        <f>J382+1</f>
        <v>22</v>
      </c>
      <c r="K383" s="15">
        <f>K382+1</f>
        <v>23</v>
      </c>
      <c r="L383" s="15">
        <v>-84.15</v>
      </c>
      <c r="M383" s="15">
        <v>4.8600000000000003</v>
      </c>
      <c r="N383" s="36">
        <f t="shared" si="81"/>
        <v>17.314814814814813</v>
      </c>
    </row>
    <row r="384" spans="1:14" x14ac:dyDescent="0.15">
      <c r="A384" s="29"/>
      <c r="B384" s="29"/>
      <c r="C384" s="29"/>
      <c r="D384" s="29"/>
      <c r="E384" s="29"/>
      <c r="F384" s="29"/>
      <c r="G384" s="29"/>
      <c r="H384" s="15">
        <v>19</v>
      </c>
      <c r="I384" s="15">
        <v>20</v>
      </c>
      <c r="J384" s="15">
        <f>J383+1</f>
        <v>23</v>
      </c>
      <c r="K384" s="15">
        <f>K383+1</f>
        <v>24</v>
      </c>
      <c r="L384" s="15">
        <v>-34.270000000000003</v>
      </c>
      <c r="M384" s="15">
        <v>5.01</v>
      </c>
      <c r="N384" s="36">
        <f t="shared" si="81"/>
        <v>6.8403193612774462</v>
      </c>
    </row>
    <row r="385" spans="1:14" x14ac:dyDescent="0.15">
      <c r="A385" s="29"/>
      <c r="B385" s="29"/>
      <c r="C385" s="29"/>
      <c r="D385" s="29"/>
      <c r="E385" s="29"/>
      <c r="F385" s="29"/>
      <c r="G385" s="29"/>
      <c r="H385" s="15">
        <v>19</v>
      </c>
      <c r="I385" s="15">
        <v>20</v>
      </c>
      <c r="J385" s="15">
        <f>J384+1</f>
        <v>24</v>
      </c>
      <c r="K385" s="15">
        <v>1</v>
      </c>
      <c r="L385" s="15">
        <v>-19.989999999999998</v>
      </c>
      <c r="M385" s="15">
        <v>5.13</v>
      </c>
      <c r="N385" s="36">
        <f t="shared" si="81"/>
        <v>3.8966861598440543</v>
      </c>
    </row>
    <row r="386" spans="1:14" x14ac:dyDescent="0.15">
      <c r="A386" s="29"/>
      <c r="B386" s="29"/>
      <c r="C386" s="29"/>
      <c r="D386" s="29"/>
      <c r="E386" s="29"/>
      <c r="F386" s="29"/>
      <c r="G386" s="29"/>
      <c r="H386" s="15">
        <v>19</v>
      </c>
      <c r="I386" s="15">
        <v>20</v>
      </c>
      <c r="J386" s="15">
        <v>1</v>
      </c>
      <c r="K386" s="15">
        <f t="shared" ref="K386:K402" si="90">K385+1</f>
        <v>2</v>
      </c>
      <c r="L386" s="15">
        <v>-9.52</v>
      </c>
      <c r="M386" s="15">
        <v>4.37</v>
      </c>
      <c r="N386" s="36">
        <f t="shared" si="81"/>
        <v>2.1784897025171621</v>
      </c>
    </row>
    <row r="387" spans="1:14" x14ac:dyDescent="0.15">
      <c r="A387" s="29"/>
      <c r="B387" s="29"/>
      <c r="C387" s="29"/>
      <c r="D387" s="29"/>
      <c r="E387" s="29"/>
      <c r="F387" s="29"/>
      <c r="G387" s="29"/>
      <c r="H387" s="15">
        <v>19</v>
      </c>
      <c r="I387" s="15">
        <v>20</v>
      </c>
      <c r="J387" s="15">
        <f t="shared" ref="J387:J402" si="91">J386+1</f>
        <v>2</v>
      </c>
      <c r="K387" s="15">
        <f t="shared" si="90"/>
        <v>3</v>
      </c>
      <c r="L387" s="15">
        <v>-5.47</v>
      </c>
      <c r="M387" s="15">
        <v>4.42</v>
      </c>
      <c r="N387" s="36">
        <f t="shared" si="81"/>
        <v>1.2375565610859729</v>
      </c>
    </row>
    <row r="388" spans="1:14" x14ac:dyDescent="0.15">
      <c r="A388" s="29"/>
      <c r="B388" s="29"/>
      <c r="C388" s="29"/>
      <c r="D388" s="29"/>
      <c r="E388" s="29"/>
      <c r="F388" s="29"/>
      <c r="G388" s="29"/>
      <c r="H388" s="15">
        <v>19</v>
      </c>
      <c r="I388" s="15">
        <v>20</v>
      </c>
      <c r="J388" s="15">
        <f t="shared" si="91"/>
        <v>3</v>
      </c>
      <c r="K388" s="15">
        <f t="shared" si="90"/>
        <v>4</v>
      </c>
      <c r="L388" s="15">
        <v>-4.66</v>
      </c>
      <c r="M388" s="15">
        <v>4.41</v>
      </c>
      <c r="N388" s="36">
        <f t="shared" si="81"/>
        <v>1.0566893424036281</v>
      </c>
    </row>
    <row r="389" spans="1:14" x14ac:dyDescent="0.15">
      <c r="A389" s="29"/>
      <c r="B389" s="29"/>
      <c r="C389" s="29"/>
      <c r="D389" s="29"/>
      <c r="E389" s="29"/>
      <c r="F389" s="29"/>
      <c r="G389" s="29"/>
      <c r="H389" s="15">
        <v>19</v>
      </c>
      <c r="I389" s="15">
        <v>20</v>
      </c>
      <c r="J389" s="15">
        <f t="shared" si="91"/>
        <v>4</v>
      </c>
      <c r="K389" s="15">
        <f t="shared" si="90"/>
        <v>5</v>
      </c>
      <c r="L389" s="36">
        <v>-0.8</v>
      </c>
      <c r="M389" s="15">
        <v>4.58</v>
      </c>
      <c r="N389" s="36">
        <f t="shared" ref="N389:N452" si="92">-L389/M389</f>
        <v>0.17467248908296945</v>
      </c>
    </row>
    <row r="390" spans="1:14" x14ac:dyDescent="0.15">
      <c r="A390" s="29"/>
      <c r="B390" s="29"/>
      <c r="C390" s="29"/>
      <c r="D390" s="29"/>
      <c r="E390" s="29"/>
      <c r="F390" s="29"/>
      <c r="G390" s="29"/>
      <c r="H390" s="15">
        <v>19</v>
      </c>
      <c r="I390" s="15">
        <v>20</v>
      </c>
      <c r="J390" s="15">
        <f t="shared" si="91"/>
        <v>5</v>
      </c>
      <c r="K390" s="15">
        <f t="shared" si="90"/>
        <v>6</v>
      </c>
      <c r="L390" s="15">
        <v>-2.23</v>
      </c>
      <c r="M390" s="15">
        <v>4.57</v>
      </c>
      <c r="N390" s="36">
        <f t="shared" si="92"/>
        <v>0.48796498905908092</v>
      </c>
    </row>
    <row r="391" spans="1:14" x14ac:dyDescent="0.15">
      <c r="A391" s="29"/>
      <c r="B391" s="29"/>
      <c r="C391" s="29"/>
      <c r="D391" s="29"/>
      <c r="E391" s="29"/>
      <c r="F391" s="29"/>
      <c r="G391" s="29"/>
      <c r="H391" s="15">
        <v>19</v>
      </c>
      <c r="I391" s="15">
        <v>20</v>
      </c>
      <c r="J391" s="15">
        <f t="shared" si="91"/>
        <v>6</v>
      </c>
      <c r="K391" s="15">
        <f t="shared" si="90"/>
        <v>7</v>
      </c>
      <c r="L391" s="15">
        <v>-2.41</v>
      </c>
      <c r="M391" s="15">
        <v>4.6100000000000003</v>
      </c>
      <c r="N391" s="36">
        <f t="shared" si="92"/>
        <v>0.52277657266811284</v>
      </c>
    </row>
    <row r="392" spans="1:14" x14ac:dyDescent="0.15">
      <c r="A392" s="29"/>
      <c r="B392" s="29"/>
      <c r="C392" s="29"/>
      <c r="D392" s="29"/>
      <c r="E392" s="29"/>
      <c r="F392" s="29"/>
      <c r="G392" s="29"/>
      <c r="H392" s="15">
        <v>19</v>
      </c>
      <c r="I392" s="15">
        <v>20</v>
      </c>
      <c r="J392" s="15">
        <f t="shared" si="91"/>
        <v>7</v>
      </c>
      <c r="K392" s="15">
        <f t="shared" si="90"/>
        <v>8</v>
      </c>
      <c r="L392" s="15">
        <v>-1.54</v>
      </c>
      <c r="M392" s="15">
        <v>4.47</v>
      </c>
      <c r="N392" s="36">
        <f t="shared" si="92"/>
        <v>0.3445190156599553</v>
      </c>
    </row>
    <row r="393" spans="1:14" x14ac:dyDescent="0.15">
      <c r="A393" s="29"/>
      <c r="B393" s="29"/>
      <c r="C393" s="29"/>
      <c r="D393" s="29"/>
      <c r="E393" s="29"/>
      <c r="F393" s="29"/>
      <c r="G393" s="29"/>
      <c r="H393" s="15">
        <v>19</v>
      </c>
      <c r="I393" s="15">
        <v>20</v>
      </c>
      <c r="J393" s="15">
        <f t="shared" si="91"/>
        <v>8</v>
      </c>
      <c r="K393" s="15">
        <f t="shared" si="90"/>
        <v>9</v>
      </c>
      <c r="L393" s="15">
        <v>-1.7</v>
      </c>
      <c r="M393" s="15">
        <v>4.45</v>
      </c>
      <c r="N393" s="36">
        <f t="shared" si="92"/>
        <v>0.38202247191011235</v>
      </c>
    </row>
    <row r="394" spans="1:14" x14ac:dyDescent="0.15">
      <c r="A394" s="29"/>
      <c r="B394" s="29"/>
      <c r="C394" s="29"/>
      <c r="D394" s="29"/>
      <c r="E394" s="29"/>
      <c r="F394" s="29"/>
      <c r="G394" s="29"/>
      <c r="H394" s="15">
        <v>19</v>
      </c>
      <c r="I394" s="15">
        <v>20</v>
      </c>
      <c r="J394" s="15">
        <f t="shared" si="91"/>
        <v>9</v>
      </c>
      <c r="K394" s="15">
        <f t="shared" si="90"/>
        <v>10</v>
      </c>
      <c r="L394" s="15">
        <v>-3.35</v>
      </c>
      <c r="M394" s="15">
        <v>4.75</v>
      </c>
      <c r="N394" s="36">
        <f t="shared" si="92"/>
        <v>0.70526315789473681</v>
      </c>
    </row>
    <row r="395" spans="1:14" x14ac:dyDescent="0.15">
      <c r="A395" s="29"/>
      <c r="B395" s="29"/>
      <c r="C395" s="29"/>
      <c r="D395" s="29"/>
      <c r="E395" s="29"/>
      <c r="F395" s="29"/>
      <c r="G395" s="29"/>
      <c r="H395" s="15">
        <v>19</v>
      </c>
      <c r="I395" s="15">
        <v>20</v>
      </c>
      <c r="J395" s="15">
        <f t="shared" si="91"/>
        <v>10</v>
      </c>
      <c r="K395" s="15">
        <f t="shared" si="90"/>
        <v>11</v>
      </c>
      <c r="L395" s="15">
        <v>-4.42</v>
      </c>
      <c r="M395" s="15">
        <v>5.26</v>
      </c>
      <c r="N395" s="36">
        <f t="shared" si="92"/>
        <v>0.84030418250950567</v>
      </c>
    </row>
    <row r="396" spans="1:14" x14ac:dyDescent="0.15">
      <c r="A396" s="29"/>
      <c r="B396" s="29"/>
      <c r="C396" s="29"/>
      <c r="D396" s="29"/>
      <c r="E396" s="29"/>
      <c r="F396" s="29"/>
      <c r="G396" s="29"/>
      <c r="H396" s="15">
        <v>19</v>
      </c>
      <c r="I396" s="15">
        <v>20</v>
      </c>
      <c r="J396" s="15">
        <f t="shared" si="91"/>
        <v>11</v>
      </c>
      <c r="K396" s="15">
        <f t="shared" si="90"/>
        <v>12</v>
      </c>
      <c r="L396" s="15">
        <v>-6.62</v>
      </c>
      <c r="M396" s="15">
        <v>5.67</v>
      </c>
      <c r="N396" s="36">
        <f t="shared" si="92"/>
        <v>1.1675485008818343</v>
      </c>
    </row>
    <row r="397" spans="1:14" x14ac:dyDescent="0.15">
      <c r="A397" s="29"/>
      <c r="B397" s="29"/>
      <c r="C397" s="29"/>
      <c r="D397" s="29"/>
      <c r="E397" s="29"/>
      <c r="F397" s="29"/>
      <c r="G397" s="29"/>
      <c r="H397" s="15">
        <v>19</v>
      </c>
      <c r="I397" s="15">
        <v>20</v>
      </c>
      <c r="J397" s="15">
        <f t="shared" si="91"/>
        <v>12</v>
      </c>
      <c r="K397" s="15">
        <f t="shared" si="90"/>
        <v>13</v>
      </c>
      <c r="L397" s="15">
        <v>-7.96</v>
      </c>
      <c r="M397" s="15">
        <v>5.65</v>
      </c>
      <c r="N397" s="36">
        <f t="shared" si="92"/>
        <v>1.4088495575221238</v>
      </c>
    </row>
    <row r="398" spans="1:14" x14ac:dyDescent="0.15">
      <c r="A398" s="29"/>
      <c r="B398" s="29"/>
      <c r="C398" s="29"/>
      <c r="D398" s="29"/>
      <c r="E398" s="29"/>
      <c r="F398" s="29"/>
      <c r="G398" s="29"/>
      <c r="H398" s="15">
        <v>19</v>
      </c>
      <c r="I398" s="15">
        <v>20</v>
      </c>
      <c r="J398" s="15">
        <f t="shared" si="91"/>
        <v>13</v>
      </c>
      <c r="K398" s="15">
        <f t="shared" si="90"/>
        <v>14</v>
      </c>
      <c r="L398" s="15">
        <v>-13.02</v>
      </c>
      <c r="M398" s="15">
        <v>5.81</v>
      </c>
      <c r="N398" s="36">
        <f t="shared" si="92"/>
        <v>2.2409638554216866</v>
      </c>
    </row>
    <row r="399" spans="1:14" x14ac:dyDescent="0.15">
      <c r="A399" s="29"/>
      <c r="B399" s="29"/>
      <c r="C399" s="29"/>
      <c r="D399" s="29"/>
      <c r="E399" s="29"/>
      <c r="F399" s="29"/>
      <c r="G399" s="29"/>
      <c r="H399" s="15">
        <v>19</v>
      </c>
      <c r="I399" s="15">
        <v>20</v>
      </c>
      <c r="J399" s="15">
        <f t="shared" si="91"/>
        <v>14</v>
      </c>
      <c r="K399" s="15">
        <f t="shared" si="90"/>
        <v>15</v>
      </c>
      <c r="L399" s="15">
        <v>-16.059999999999999</v>
      </c>
      <c r="M399" s="15">
        <v>5.76</v>
      </c>
      <c r="N399" s="36">
        <f t="shared" si="92"/>
        <v>2.7881944444444442</v>
      </c>
    </row>
    <row r="400" spans="1:14" x14ac:dyDescent="0.15">
      <c r="A400" s="29"/>
      <c r="B400" s="29"/>
      <c r="C400" s="29"/>
      <c r="D400" s="29"/>
      <c r="E400" s="29"/>
      <c r="F400" s="29"/>
      <c r="G400" s="29"/>
      <c r="H400" s="15">
        <v>19</v>
      </c>
      <c r="I400" s="15">
        <v>20</v>
      </c>
      <c r="J400" s="15">
        <f t="shared" si="91"/>
        <v>15</v>
      </c>
      <c r="K400" s="15">
        <f t="shared" si="90"/>
        <v>16</v>
      </c>
      <c r="L400" s="15">
        <v>-39.450000000000003</v>
      </c>
      <c r="M400" s="15">
        <v>5.99</v>
      </c>
      <c r="N400" s="36">
        <f t="shared" si="92"/>
        <v>6.5859766277128546</v>
      </c>
    </row>
    <row r="401" spans="1:14" x14ac:dyDescent="0.15">
      <c r="A401" s="29"/>
      <c r="B401" s="29"/>
      <c r="C401" s="29"/>
      <c r="D401" s="29"/>
      <c r="E401" s="29"/>
      <c r="F401" s="29"/>
      <c r="G401" s="29"/>
      <c r="H401" s="15">
        <v>19</v>
      </c>
      <c r="I401" s="15">
        <v>20</v>
      </c>
      <c r="J401" s="15">
        <f t="shared" si="91"/>
        <v>16</v>
      </c>
      <c r="K401" s="15">
        <f t="shared" si="90"/>
        <v>17</v>
      </c>
      <c r="L401" s="15">
        <v>-94.77</v>
      </c>
      <c r="M401" s="15">
        <v>5.69</v>
      </c>
      <c r="N401" s="36">
        <f t="shared" si="92"/>
        <v>16.655536028119506</v>
      </c>
    </row>
    <row r="402" spans="1:14" x14ac:dyDescent="0.15">
      <c r="A402" s="29"/>
      <c r="B402" s="29"/>
      <c r="C402" s="29"/>
      <c r="D402" s="29"/>
      <c r="E402" s="29"/>
      <c r="F402" s="29"/>
      <c r="G402" s="29"/>
      <c r="H402" s="15">
        <v>19</v>
      </c>
      <c r="I402" s="15">
        <v>20</v>
      </c>
      <c r="J402" s="15">
        <f t="shared" si="91"/>
        <v>17</v>
      </c>
      <c r="K402" s="15">
        <f t="shared" si="90"/>
        <v>18</v>
      </c>
      <c r="L402" s="15">
        <v>-372.85</v>
      </c>
      <c r="M402" s="15">
        <v>6</v>
      </c>
      <c r="N402" s="36">
        <f t="shared" si="92"/>
        <v>62.141666666666673</v>
      </c>
    </row>
    <row r="403" spans="1:14" x14ac:dyDescent="0.15">
      <c r="A403" s="29"/>
      <c r="B403" s="29"/>
      <c r="C403" s="29"/>
      <c r="D403" s="29"/>
      <c r="E403" s="29"/>
      <c r="F403" s="29"/>
      <c r="G403" s="29"/>
      <c r="H403" s="15">
        <v>20</v>
      </c>
      <c r="I403" s="15">
        <v>21</v>
      </c>
      <c r="J403" s="15">
        <f>I403+1</f>
        <v>22</v>
      </c>
      <c r="K403" s="15">
        <f>J403+1</f>
        <v>23</v>
      </c>
      <c r="L403" s="15">
        <v>-248.91</v>
      </c>
      <c r="M403" s="15">
        <v>3.68</v>
      </c>
      <c r="N403" s="36">
        <f t="shared" si="92"/>
        <v>67.638586956521735</v>
      </c>
    </row>
    <row r="404" spans="1:14" x14ac:dyDescent="0.15">
      <c r="A404" s="29"/>
      <c r="B404" s="29"/>
      <c r="C404" s="29"/>
      <c r="D404" s="29"/>
      <c r="E404" s="29"/>
      <c r="F404" s="29"/>
      <c r="G404" s="29"/>
      <c r="H404" s="15">
        <v>20</v>
      </c>
      <c r="I404" s="15">
        <v>21</v>
      </c>
      <c r="J404" s="15">
        <f>J403+1</f>
        <v>23</v>
      </c>
      <c r="K404" s="15">
        <f>K403+1</f>
        <v>24</v>
      </c>
      <c r="L404" s="15">
        <v>-62.33</v>
      </c>
      <c r="M404" s="15">
        <v>3.56</v>
      </c>
      <c r="N404" s="36">
        <f t="shared" si="92"/>
        <v>17.508426966292134</v>
      </c>
    </row>
    <row r="405" spans="1:14" x14ac:dyDescent="0.15">
      <c r="A405" s="29"/>
      <c r="B405" s="29"/>
      <c r="C405" s="29"/>
      <c r="D405" s="29"/>
      <c r="E405" s="29"/>
      <c r="F405" s="29"/>
      <c r="G405" s="29"/>
      <c r="H405" s="15">
        <v>20</v>
      </c>
      <c r="I405" s="15">
        <v>21</v>
      </c>
      <c r="J405" s="15">
        <f>J404+1</f>
        <v>24</v>
      </c>
      <c r="K405" s="15">
        <v>1</v>
      </c>
      <c r="L405" s="15">
        <v>-27.73</v>
      </c>
      <c r="M405" s="15">
        <v>3.63</v>
      </c>
      <c r="N405" s="36">
        <f t="shared" si="92"/>
        <v>7.6391184573002757</v>
      </c>
    </row>
    <row r="406" spans="1:14" x14ac:dyDescent="0.15">
      <c r="A406" s="29"/>
      <c r="B406" s="29"/>
      <c r="C406" s="29"/>
      <c r="D406" s="29"/>
      <c r="E406" s="29"/>
      <c r="F406" s="29"/>
      <c r="G406" s="29"/>
      <c r="H406" s="15">
        <v>20</v>
      </c>
      <c r="I406" s="15">
        <v>21</v>
      </c>
      <c r="J406" s="15">
        <v>1</v>
      </c>
      <c r="K406" s="15">
        <f t="shared" ref="K406:K423" si="93">K405+1</f>
        <v>2</v>
      </c>
      <c r="L406" s="15">
        <v>-18</v>
      </c>
      <c r="M406" s="15">
        <v>3.98</v>
      </c>
      <c r="N406" s="36">
        <f t="shared" si="92"/>
        <v>4.5226130653266328</v>
      </c>
    </row>
    <row r="407" spans="1:14" x14ac:dyDescent="0.15">
      <c r="A407" s="29"/>
      <c r="B407" s="29"/>
      <c r="C407" s="29"/>
      <c r="D407" s="29"/>
      <c r="E407" s="29"/>
      <c r="F407" s="29"/>
      <c r="G407" s="29"/>
      <c r="H407" s="15">
        <v>20</v>
      </c>
      <c r="I407" s="15">
        <v>21</v>
      </c>
      <c r="J407" s="15">
        <f t="shared" ref="J407:J423" si="94">J406+1</f>
        <v>2</v>
      </c>
      <c r="K407" s="15">
        <f t="shared" si="93"/>
        <v>3</v>
      </c>
      <c r="L407" s="15">
        <v>-11.52</v>
      </c>
      <c r="M407" s="15">
        <v>4</v>
      </c>
      <c r="N407" s="36">
        <f t="shared" si="92"/>
        <v>2.88</v>
      </c>
    </row>
    <row r="408" spans="1:14" x14ac:dyDescent="0.15">
      <c r="A408" s="29"/>
      <c r="B408" s="29"/>
      <c r="C408" s="29"/>
      <c r="D408" s="29"/>
      <c r="E408" s="29"/>
      <c r="F408" s="29"/>
      <c r="G408" s="29"/>
      <c r="H408" s="15">
        <v>20</v>
      </c>
      <c r="I408" s="15">
        <v>21</v>
      </c>
      <c r="J408" s="15">
        <f t="shared" si="94"/>
        <v>3</v>
      </c>
      <c r="K408" s="15">
        <f t="shared" si="93"/>
        <v>4</v>
      </c>
      <c r="L408" s="15">
        <v>-7.04</v>
      </c>
      <c r="M408" s="15">
        <v>4.1399999999999997</v>
      </c>
      <c r="N408" s="36">
        <f t="shared" si="92"/>
        <v>1.7004830917874398</v>
      </c>
    </row>
    <row r="409" spans="1:14" x14ac:dyDescent="0.15">
      <c r="A409" s="29"/>
      <c r="B409" s="29"/>
      <c r="C409" s="29"/>
      <c r="D409" s="29"/>
      <c r="E409" s="29"/>
      <c r="F409" s="29"/>
      <c r="G409" s="29"/>
      <c r="H409" s="15">
        <v>20</v>
      </c>
      <c r="I409" s="15">
        <v>21</v>
      </c>
      <c r="J409" s="15">
        <f t="shared" si="94"/>
        <v>4</v>
      </c>
      <c r="K409" s="15">
        <f t="shared" si="93"/>
        <v>5</v>
      </c>
      <c r="L409" s="36">
        <v>-12.27</v>
      </c>
      <c r="M409" s="15">
        <v>4.24</v>
      </c>
      <c r="N409" s="36">
        <f t="shared" si="92"/>
        <v>2.8938679245283017</v>
      </c>
    </row>
    <row r="410" spans="1:14" x14ac:dyDescent="0.15">
      <c r="A410" s="29"/>
      <c r="B410" s="29"/>
      <c r="C410" s="29"/>
      <c r="D410" s="29"/>
      <c r="E410" s="29"/>
      <c r="F410" s="29"/>
      <c r="G410" s="29"/>
      <c r="H410" s="15">
        <v>20</v>
      </c>
      <c r="I410" s="15">
        <v>21</v>
      </c>
      <c r="J410" s="15">
        <f t="shared" si="94"/>
        <v>5</v>
      </c>
      <c r="K410" s="15">
        <f t="shared" si="93"/>
        <v>6</v>
      </c>
      <c r="L410" s="15">
        <v>-3.31</v>
      </c>
      <c r="M410" s="15">
        <v>4.17</v>
      </c>
      <c r="N410" s="36">
        <f t="shared" si="92"/>
        <v>0.79376498800959239</v>
      </c>
    </row>
    <row r="411" spans="1:14" x14ac:dyDescent="0.15">
      <c r="A411" s="29"/>
      <c r="B411" s="29"/>
      <c r="C411" s="29"/>
      <c r="D411" s="29"/>
      <c r="E411" s="29"/>
      <c r="F411" s="29"/>
      <c r="G411" s="29"/>
      <c r="H411" s="15">
        <v>20</v>
      </c>
      <c r="I411" s="15">
        <v>21</v>
      </c>
      <c r="J411" s="15">
        <f t="shared" si="94"/>
        <v>6</v>
      </c>
      <c r="K411" s="15">
        <f t="shared" si="93"/>
        <v>7</v>
      </c>
      <c r="L411" s="15">
        <v>-4.43</v>
      </c>
      <c r="M411" s="15">
        <v>4.03</v>
      </c>
      <c r="N411" s="36">
        <f t="shared" si="92"/>
        <v>1.0992555831265507</v>
      </c>
    </row>
    <row r="412" spans="1:14" x14ac:dyDescent="0.15">
      <c r="A412" s="29"/>
      <c r="B412" s="29"/>
      <c r="C412" s="29"/>
      <c r="D412" s="29"/>
      <c r="E412" s="29"/>
      <c r="F412" s="29"/>
      <c r="G412" s="29"/>
      <c r="H412" s="15">
        <v>20</v>
      </c>
      <c r="I412" s="15">
        <v>21</v>
      </c>
      <c r="J412" s="15">
        <f t="shared" si="94"/>
        <v>7</v>
      </c>
      <c r="K412" s="15">
        <f t="shared" si="93"/>
        <v>8</v>
      </c>
      <c r="L412" s="15">
        <v>-3.33</v>
      </c>
      <c r="M412" s="15">
        <v>4.1900000000000004</v>
      </c>
      <c r="N412" s="36">
        <f t="shared" si="92"/>
        <v>0.79474940334128874</v>
      </c>
    </row>
    <row r="413" spans="1:14" x14ac:dyDescent="0.15">
      <c r="A413" s="29"/>
      <c r="B413" s="29"/>
      <c r="C413" s="29"/>
      <c r="D413" s="29"/>
      <c r="E413" s="29"/>
      <c r="F413" s="29"/>
      <c r="G413" s="29"/>
      <c r="H413" s="15">
        <v>20</v>
      </c>
      <c r="I413" s="15">
        <v>21</v>
      </c>
      <c r="J413" s="15">
        <f t="shared" si="94"/>
        <v>8</v>
      </c>
      <c r="K413" s="15">
        <f t="shared" si="93"/>
        <v>9</v>
      </c>
      <c r="L413" s="15">
        <v>-4.95</v>
      </c>
      <c r="M413" s="15">
        <v>4.1500000000000004</v>
      </c>
      <c r="N413" s="36">
        <f t="shared" si="92"/>
        <v>1.1927710843373494</v>
      </c>
    </row>
    <row r="414" spans="1:14" x14ac:dyDescent="0.15">
      <c r="A414" s="29"/>
      <c r="B414" s="29"/>
      <c r="C414" s="29"/>
      <c r="D414" s="29"/>
      <c r="E414" s="29"/>
      <c r="F414" s="29"/>
      <c r="G414" s="29"/>
      <c r="H414" s="15">
        <v>20</v>
      </c>
      <c r="I414" s="15">
        <v>21</v>
      </c>
      <c r="J414" s="15">
        <f t="shared" si="94"/>
        <v>9</v>
      </c>
      <c r="K414" s="15">
        <f t="shared" si="93"/>
        <v>10</v>
      </c>
      <c r="L414" s="15">
        <v>-4.08</v>
      </c>
      <c r="M414" s="15">
        <v>4.1500000000000004</v>
      </c>
      <c r="N414" s="36">
        <f t="shared" si="92"/>
        <v>0.98313253012048185</v>
      </c>
    </row>
    <row r="415" spans="1:14" x14ac:dyDescent="0.15">
      <c r="A415" s="29"/>
      <c r="B415" s="29"/>
      <c r="C415" s="29"/>
      <c r="D415" s="29"/>
      <c r="E415" s="29"/>
      <c r="F415" s="29"/>
      <c r="G415" s="29"/>
      <c r="H415" s="15">
        <v>20</v>
      </c>
      <c r="I415" s="15">
        <v>21</v>
      </c>
      <c r="J415" s="15">
        <f t="shared" si="94"/>
        <v>10</v>
      </c>
      <c r="K415" s="15">
        <f t="shared" si="93"/>
        <v>11</v>
      </c>
      <c r="L415" s="15">
        <v>-3.46</v>
      </c>
      <c r="M415" s="15">
        <v>4.1100000000000003</v>
      </c>
      <c r="N415" s="36">
        <f t="shared" si="92"/>
        <v>0.84184914841849146</v>
      </c>
    </row>
    <row r="416" spans="1:14" x14ac:dyDescent="0.15">
      <c r="A416" s="29"/>
      <c r="B416" s="29"/>
      <c r="C416" s="29"/>
      <c r="D416" s="29"/>
      <c r="E416" s="29"/>
      <c r="F416" s="29"/>
      <c r="G416" s="29"/>
      <c r="H416" s="15">
        <v>20</v>
      </c>
      <c r="I416" s="15">
        <v>21</v>
      </c>
      <c r="J416" s="15">
        <f t="shared" si="94"/>
        <v>11</v>
      </c>
      <c r="K416" s="15">
        <f t="shared" si="93"/>
        <v>12</v>
      </c>
      <c r="L416" s="15">
        <v>-3.61</v>
      </c>
      <c r="M416" s="15">
        <v>4.13</v>
      </c>
      <c r="N416" s="36">
        <f t="shared" si="92"/>
        <v>0.87409200968523004</v>
      </c>
    </row>
    <row r="417" spans="1:14" x14ac:dyDescent="0.15">
      <c r="A417" s="29"/>
      <c r="B417" s="29"/>
      <c r="C417" s="29"/>
      <c r="D417" s="29"/>
      <c r="E417" s="29"/>
      <c r="F417" s="29"/>
      <c r="G417" s="29"/>
      <c r="H417" s="15">
        <v>20</v>
      </c>
      <c r="I417" s="15">
        <v>21</v>
      </c>
      <c r="J417" s="15">
        <f t="shared" si="94"/>
        <v>12</v>
      </c>
      <c r="K417" s="15">
        <f t="shared" si="93"/>
        <v>13</v>
      </c>
      <c r="L417" s="15">
        <v>-4.66</v>
      </c>
      <c r="M417" s="15">
        <v>3.98</v>
      </c>
      <c r="N417" s="36">
        <f t="shared" si="92"/>
        <v>1.170854271356784</v>
      </c>
    </row>
    <row r="418" spans="1:14" x14ac:dyDescent="0.15">
      <c r="A418" s="29"/>
      <c r="B418" s="29"/>
      <c r="C418" s="29"/>
      <c r="D418" s="29"/>
      <c r="E418" s="29"/>
      <c r="F418" s="29"/>
      <c r="G418" s="29"/>
      <c r="H418" s="15">
        <v>20</v>
      </c>
      <c r="I418" s="15">
        <v>21</v>
      </c>
      <c r="J418" s="15">
        <f t="shared" si="94"/>
        <v>13</v>
      </c>
      <c r="K418" s="15">
        <f t="shared" si="93"/>
        <v>14</v>
      </c>
      <c r="L418" s="15">
        <v>-7.07</v>
      </c>
      <c r="M418" s="15">
        <v>3.95</v>
      </c>
      <c r="N418" s="36">
        <f t="shared" si="92"/>
        <v>1.789873417721519</v>
      </c>
    </row>
    <row r="419" spans="1:14" x14ac:dyDescent="0.15">
      <c r="A419" s="29"/>
      <c r="B419" s="29"/>
      <c r="C419" s="29"/>
      <c r="D419" s="29"/>
      <c r="E419" s="29"/>
      <c r="F419" s="29"/>
      <c r="G419" s="29"/>
      <c r="H419" s="15">
        <v>20</v>
      </c>
      <c r="I419" s="15">
        <v>21</v>
      </c>
      <c r="J419" s="15">
        <f t="shared" si="94"/>
        <v>14</v>
      </c>
      <c r="K419" s="15">
        <f t="shared" si="93"/>
        <v>15</v>
      </c>
      <c r="L419" s="15">
        <v>-10.28</v>
      </c>
      <c r="M419" s="15">
        <v>3.8</v>
      </c>
      <c r="N419" s="36">
        <f t="shared" si="92"/>
        <v>2.7052631578947368</v>
      </c>
    </row>
    <row r="420" spans="1:14" x14ac:dyDescent="0.15">
      <c r="A420" s="29"/>
      <c r="B420" s="29"/>
      <c r="C420" s="29"/>
      <c r="D420" s="29"/>
      <c r="E420" s="29"/>
      <c r="F420" s="29"/>
      <c r="G420" s="29"/>
      <c r="H420" s="15">
        <v>20</v>
      </c>
      <c r="I420" s="15">
        <v>21</v>
      </c>
      <c r="J420" s="15">
        <f t="shared" si="94"/>
        <v>15</v>
      </c>
      <c r="K420" s="15">
        <f t="shared" si="93"/>
        <v>16</v>
      </c>
      <c r="L420" s="15">
        <v>-13.74</v>
      </c>
      <c r="M420" s="15">
        <v>3.83</v>
      </c>
      <c r="N420" s="36">
        <f t="shared" si="92"/>
        <v>3.5874673629242819</v>
      </c>
    </row>
    <row r="421" spans="1:14" x14ac:dyDescent="0.15">
      <c r="A421" s="29"/>
      <c r="B421" s="29"/>
      <c r="C421" s="29"/>
      <c r="D421" s="29"/>
      <c r="E421" s="29"/>
      <c r="F421" s="29"/>
      <c r="G421" s="29"/>
      <c r="H421" s="15">
        <v>20</v>
      </c>
      <c r="I421" s="15">
        <v>21</v>
      </c>
      <c r="J421" s="15">
        <f t="shared" si="94"/>
        <v>16</v>
      </c>
      <c r="K421" s="15">
        <f t="shared" si="93"/>
        <v>17</v>
      </c>
      <c r="L421" s="15">
        <v>-27.31</v>
      </c>
      <c r="M421" s="15">
        <v>3.75</v>
      </c>
      <c r="N421" s="36">
        <f t="shared" si="92"/>
        <v>7.2826666666666666</v>
      </c>
    </row>
    <row r="422" spans="1:14" x14ac:dyDescent="0.15">
      <c r="A422" s="29"/>
      <c r="B422" s="29"/>
      <c r="C422" s="29"/>
      <c r="D422" s="29"/>
      <c r="E422" s="29"/>
      <c r="F422" s="29"/>
      <c r="G422" s="29"/>
      <c r="H422" s="15">
        <v>20</v>
      </c>
      <c r="I422" s="15">
        <v>21</v>
      </c>
      <c r="J422" s="15">
        <f t="shared" si="94"/>
        <v>17</v>
      </c>
      <c r="K422" s="15">
        <f t="shared" si="93"/>
        <v>18</v>
      </c>
      <c r="L422" s="15">
        <v>-64.28</v>
      </c>
      <c r="M422" s="15">
        <v>3.82</v>
      </c>
      <c r="N422" s="36">
        <f t="shared" si="92"/>
        <v>16.827225130890053</v>
      </c>
    </row>
    <row r="423" spans="1:14" x14ac:dyDescent="0.15">
      <c r="A423" s="29"/>
      <c r="B423" s="29"/>
      <c r="C423" s="29"/>
      <c r="D423" s="29"/>
      <c r="E423" s="29"/>
      <c r="F423" s="29"/>
      <c r="G423" s="29"/>
      <c r="H423" s="15">
        <v>20</v>
      </c>
      <c r="I423" s="15">
        <v>21</v>
      </c>
      <c r="J423" s="15">
        <f t="shared" si="94"/>
        <v>18</v>
      </c>
      <c r="K423" s="15">
        <f t="shared" si="93"/>
        <v>19</v>
      </c>
      <c r="L423" s="15">
        <v>-275.32</v>
      </c>
      <c r="M423" s="15">
        <v>3.91</v>
      </c>
      <c r="N423" s="36">
        <f t="shared" si="92"/>
        <v>70.414322250639387</v>
      </c>
    </row>
    <row r="424" spans="1:14" x14ac:dyDescent="0.15">
      <c r="A424" s="29"/>
      <c r="B424" s="29"/>
      <c r="C424" s="29"/>
      <c r="D424" s="29"/>
      <c r="E424" s="29"/>
      <c r="F424" s="29"/>
      <c r="G424" s="29"/>
      <c r="H424" s="15">
        <v>21</v>
      </c>
      <c r="I424" s="15">
        <v>22</v>
      </c>
      <c r="J424" s="15">
        <f>I424+1</f>
        <v>23</v>
      </c>
      <c r="K424" s="15">
        <f>J424+1</f>
        <v>24</v>
      </c>
      <c r="L424" s="15">
        <v>-392.93</v>
      </c>
      <c r="M424" s="15">
        <v>5.75</v>
      </c>
      <c r="N424" s="36">
        <f t="shared" si="92"/>
        <v>68.335652173913047</v>
      </c>
    </row>
    <row r="425" spans="1:14" x14ac:dyDescent="0.15">
      <c r="A425" s="29"/>
      <c r="B425" s="29"/>
      <c r="C425" s="29"/>
      <c r="D425" s="29"/>
      <c r="E425" s="29"/>
      <c r="F425" s="29"/>
      <c r="G425" s="29"/>
      <c r="H425" s="15">
        <v>21</v>
      </c>
      <c r="I425" s="15">
        <v>22</v>
      </c>
      <c r="J425" s="15">
        <f>J424+1</f>
        <v>24</v>
      </c>
      <c r="K425" s="15">
        <v>1</v>
      </c>
      <c r="L425" s="15">
        <v>-99.73</v>
      </c>
      <c r="M425" s="15">
        <v>5.45</v>
      </c>
      <c r="N425" s="36">
        <f t="shared" si="92"/>
        <v>18.299082568807339</v>
      </c>
    </row>
    <row r="426" spans="1:14" x14ac:dyDescent="0.15">
      <c r="A426" s="29"/>
      <c r="B426" s="29"/>
      <c r="C426" s="29"/>
      <c r="D426" s="29"/>
      <c r="E426" s="29"/>
      <c r="F426" s="29"/>
      <c r="G426" s="29"/>
      <c r="H426" s="15">
        <v>21</v>
      </c>
      <c r="I426" s="15">
        <v>22</v>
      </c>
      <c r="J426" s="15">
        <v>1</v>
      </c>
      <c r="K426" s="15">
        <f t="shared" ref="K426:K444" si="95">K425+1</f>
        <v>2</v>
      </c>
      <c r="L426" s="15">
        <v>-41.19</v>
      </c>
      <c r="M426" s="15">
        <v>5.12</v>
      </c>
      <c r="N426" s="36">
        <f t="shared" si="92"/>
        <v>8.044921875</v>
      </c>
    </row>
    <row r="427" spans="1:14" x14ac:dyDescent="0.15">
      <c r="A427" s="29"/>
      <c r="B427" s="29"/>
      <c r="C427" s="29"/>
      <c r="D427" s="29"/>
      <c r="E427" s="29"/>
      <c r="F427" s="29"/>
      <c r="G427" s="29"/>
      <c r="H427" s="15">
        <v>21</v>
      </c>
      <c r="I427" s="15">
        <v>22</v>
      </c>
      <c r="J427" s="15">
        <f t="shared" ref="J427:J444" si="96">J426+1</f>
        <v>2</v>
      </c>
      <c r="K427" s="15">
        <f t="shared" si="95"/>
        <v>3</v>
      </c>
      <c r="L427" s="15">
        <v>-21.45</v>
      </c>
      <c r="M427" s="15">
        <v>5.16</v>
      </c>
      <c r="N427" s="36">
        <f t="shared" si="92"/>
        <v>4.1569767441860463</v>
      </c>
    </row>
    <row r="428" spans="1:14" x14ac:dyDescent="0.15">
      <c r="A428" s="29"/>
      <c r="B428" s="29"/>
      <c r="C428" s="29"/>
      <c r="D428" s="29"/>
      <c r="E428" s="29"/>
      <c r="F428" s="29"/>
      <c r="G428" s="29"/>
      <c r="H428" s="15">
        <v>21</v>
      </c>
      <c r="I428" s="15">
        <v>22</v>
      </c>
      <c r="J428" s="15">
        <f t="shared" si="96"/>
        <v>3</v>
      </c>
      <c r="K428" s="15">
        <f t="shared" si="95"/>
        <v>4</v>
      </c>
      <c r="L428" s="15">
        <v>-11.98</v>
      </c>
      <c r="M428" s="15">
        <v>5.15</v>
      </c>
      <c r="N428" s="36">
        <f t="shared" si="92"/>
        <v>2.3262135922330098</v>
      </c>
    </row>
    <row r="429" spans="1:14" x14ac:dyDescent="0.15">
      <c r="A429" s="29"/>
      <c r="B429" s="29"/>
      <c r="C429" s="29"/>
      <c r="D429" s="29"/>
      <c r="E429" s="29"/>
      <c r="F429" s="29"/>
      <c r="G429" s="29"/>
      <c r="H429" s="15">
        <v>21</v>
      </c>
      <c r="I429" s="15">
        <v>22</v>
      </c>
      <c r="J429" s="15">
        <f t="shared" si="96"/>
        <v>4</v>
      </c>
      <c r="K429" s="15">
        <f t="shared" si="95"/>
        <v>5</v>
      </c>
      <c r="L429" s="15">
        <v>-18.649999999999999</v>
      </c>
      <c r="M429" s="15">
        <v>5.28</v>
      </c>
      <c r="N429" s="36">
        <f t="shared" si="92"/>
        <v>3.5321969696969693</v>
      </c>
    </row>
    <row r="430" spans="1:14" x14ac:dyDescent="0.15">
      <c r="A430" s="29"/>
      <c r="B430" s="29"/>
      <c r="C430" s="29"/>
      <c r="D430" s="29"/>
      <c r="E430" s="29"/>
      <c r="F430" s="29"/>
      <c r="G430" s="29"/>
      <c r="H430" s="15">
        <v>21</v>
      </c>
      <c r="I430" s="15">
        <v>22</v>
      </c>
      <c r="J430" s="15">
        <f t="shared" si="96"/>
        <v>5</v>
      </c>
      <c r="K430" s="15">
        <f t="shared" si="95"/>
        <v>6</v>
      </c>
      <c r="L430" s="15">
        <v>-4.96</v>
      </c>
      <c r="M430" s="15">
        <v>5.69</v>
      </c>
      <c r="N430" s="36">
        <f t="shared" si="92"/>
        <v>0.8717047451669595</v>
      </c>
    </row>
    <row r="431" spans="1:14" x14ac:dyDescent="0.15">
      <c r="A431" s="29"/>
      <c r="B431" s="29"/>
      <c r="C431" s="29"/>
      <c r="D431" s="29"/>
      <c r="E431" s="29"/>
      <c r="F431" s="29"/>
      <c r="G431" s="29"/>
      <c r="H431" s="15">
        <v>21</v>
      </c>
      <c r="I431" s="15">
        <v>22</v>
      </c>
      <c r="J431" s="15">
        <f t="shared" si="96"/>
        <v>6</v>
      </c>
      <c r="K431" s="15">
        <f t="shared" si="95"/>
        <v>7</v>
      </c>
      <c r="L431" s="15">
        <v>-6.95</v>
      </c>
      <c r="M431" s="15">
        <v>5.43</v>
      </c>
      <c r="N431" s="36">
        <f t="shared" si="92"/>
        <v>1.2799263351749541</v>
      </c>
    </row>
    <row r="432" spans="1:14" x14ac:dyDescent="0.15">
      <c r="A432" s="29"/>
      <c r="B432" s="29"/>
      <c r="C432" s="29"/>
      <c r="D432" s="29"/>
      <c r="E432" s="29"/>
      <c r="F432" s="29"/>
      <c r="G432" s="29"/>
      <c r="H432" s="15">
        <v>21</v>
      </c>
      <c r="I432" s="15">
        <v>22</v>
      </c>
      <c r="J432" s="15">
        <f t="shared" si="96"/>
        <v>7</v>
      </c>
      <c r="K432" s="15">
        <f t="shared" si="95"/>
        <v>8</v>
      </c>
      <c r="L432" s="15">
        <v>-4.8600000000000003</v>
      </c>
      <c r="M432" s="15">
        <v>5.42</v>
      </c>
      <c r="N432" s="36">
        <f t="shared" si="92"/>
        <v>0.89667896678966796</v>
      </c>
    </row>
    <row r="433" spans="1:14" x14ac:dyDescent="0.15">
      <c r="A433" s="29"/>
      <c r="B433" s="29"/>
      <c r="C433" s="29"/>
      <c r="D433" s="29"/>
      <c r="E433" s="29"/>
      <c r="F433" s="29"/>
      <c r="G433" s="29"/>
      <c r="H433" s="15">
        <v>21</v>
      </c>
      <c r="I433" s="15">
        <v>22</v>
      </c>
      <c r="J433" s="15">
        <f t="shared" si="96"/>
        <v>8</v>
      </c>
      <c r="K433" s="15">
        <f t="shared" si="95"/>
        <v>9</v>
      </c>
      <c r="L433" s="15">
        <v>-7</v>
      </c>
      <c r="M433" s="15">
        <v>5.3</v>
      </c>
      <c r="N433" s="36">
        <f t="shared" si="92"/>
        <v>1.3207547169811322</v>
      </c>
    </row>
    <row r="434" spans="1:14" x14ac:dyDescent="0.15">
      <c r="A434" s="29"/>
      <c r="B434" s="29"/>
      <c r="C434" s="29"/>
      <c r="D434" s="29"/>
      <c r="E434" s="29"/>
      <c r="F434" s="29"/>
      <c r="G434" s="29"/>
      <c r="H434" s="15">
        <v>21</v>
      </c>
      <c r="I434" s="15">
        <v>22</v>
      </c>
      <c r="J434" s="15">
        <f t="shared" si="96"/>
        <v>9</v>
      </c>
      <c r="K434" s="15">
        <f t="shared" si="95"/>
        <v>10</v>
      </c>
      <c r="L434" s="15">
        <v>-4.3899999999999997</v>
      </c>
      <c r="M434" s="15">
        <v>5.26</v>
      </c>
      <c r="N434" s="36">
        <f t="shared" si="92"/>
        <v>0.83460076045627374</v>
      </c>
    </row>
    <row r="435" spans="1:14" x14ac:dyDescent="0.15">
      <c r="A435" s="29"/>
      <c r="B435" s="29"/>
      <c r="C435" s="29"/>
      <c r="D435" s="29"/>
      <c r="E435" s="29"/>
      <c r="F435" s="29"/>
      <c r="G435" s="29"/>
      <c r="H435" s="15">
        <v>21</v>
      </c>
      <c r="I435" s="15">
        <v>22</v>
      </c>
      <c r="J435" s="15">
        <f t="shared" si="96"/>
        <v>10</v>
      </c>
      <c r="K435" s="15">
        <f t="shared" si="95"/>
        <v>11</v>
      </c>
      <c r="L435" s="15">
        <v>-4.93</v>
      </c>
      <c r="M435" s="15">
        <v>5.32</v>
      </c>
      <c r="N435" s="36">
        <f t="shared" si="92"/>
        <v>0.92669172932330812</v>
      </c>
    </row>
    <row r="436" spans="1:14" x14ac:dyDescent="0.15">
      <c r="A436" s="29"/>
      <c r="B436" s="29"/>
      <c r="C436" s="29"/>
      <c r="D436" s="29"/>
      <c r="E436" s="29"/>
      <c r="F436" s="29"/>
      <c r="G436" s="29"/>
      <c r="H436" s="15">
        <v>21</v>
      </c>
      <c r="I436" s="15">
        <v>22</v>
      </c>
      <c r="J436" s="15">
        <f t="shared" si="96"/>
        <v>11</v>
      </c>
      <c r="K436" s="15">
        <f t="shared" si="95"/>
        <v>12</v>
      </c>
      <c r="L436" s="15">
        <v>-4.0999999999999996</v>
      </c>
      <c r="M436" s="15">
        <v>5.27</v>
      </c>
      <c r="N436" s="36">
        <f t="shared" si="92"/>
        <v>0.77798861480075898</v>
      </c>
    </row>
    <row r="437" spans="1:14" x14ac:dyDescent="0.15">
      <c r="A437" s="29"/>
      <c r="B437" s="29"/>
      <c r="C437" s="29"/>
      <c r="D437" s="29"/>
      <c r="E437" s="29"/>
      <c r="F437" s="29"/>
      <c r="G437" s="29"/>
      <c r="H437" s="15">
        <v>21</v>
      </c>
      <c r="I437" s="15">
        <v>22</v>
      </c>
      <c r="J437" s="15">
        <f t="shared" si="96"/>
        <v>12</v>
      </c>
      <c r="K437" s="15">
        <f t="shared" si="95"/>
        <v>13</v>
      </c>
      <c r="L437" s="15">
        <v>-5.97</v>
      </c>
      <c r="M437" s="15">
        <v>5.6</v>
      </c>
      <c r="N437" s="36">
        <f t="shared" si="92"/>
        <v>1.0660714285714286</v>
      </c>
    </row>
    <row r="438" spans="1:14" x14ac:dyDescent="0.15">
      <c r="A438" s="29"/>
      <c r="B438" s="29"/>
      <c r="C438" s="29"/>
      <c r="D438" s="29"/>
      <c r="E438" s="29"/>
      <c r="F438" s="29"/>
      <c r="G438" s="29"/>
      <c r="H438" s="15">
        <v>21</v>
      </c>
      <c r="I438" s="15">
        <v>22</v>
      </c>
      <c r="J438" s="15">
        <f t="shared" si="96"/>
        <v>13</v>
      </c>
      <c r="K438" s="15">
        <f t="shared" si="95"/>
        <v>14</v>
      </c>
      <c r="L438" s="15">
        <v>-7.79</v>
      </c>
      <c r="M438" s="15">
        <v>5.52</v>
      </c>
      <c r="N438" s="36">
        <f t="shared" si="92"/>
        <v>1.4112318840579712</v>
      </c>
    </row>
    <row r="439" spans="1:14" x14ac:dyDescent="0.15">
      <c r="A439" s="29"/>
      <c r="B439" s="29"/>
      <c r="C439" s="29"/>
      <c r="D439" s="29"/>
      <c r="E439" s="29"/>
      <c r="F439" s="29"/>
      <c r="G439" s="29"/>
      <c r="H439" s="15">
        <v>21</v>
      </c>
      <c r="I439" s="15">
        <v>22</v>
      </c>
      <c r="J439" s="15">
        <f t="shared" si="96"/>
        <v>14</v>
      </c>
      <c r="K439" s="15">
        <f t="shared" si="95"/>
        <v>15</v>
      </c>
      <c r="L439" s="36">
        <v>-22.28</v>
      </c>
      <c r="M439" s="15">
        <v>5.54</v>
      </c>
      <c r="N439" s="36">
        <f t="shared" si="92"/>
        <v>4.0216606498194949</v>
      </c>
    </row>
    <row r="440" spans="1:14" x14ac:dyDescent="0.15">
      <c r="A440" s="29"/>
      <c r="B440" s="29"/>
      <c r="C440" s="29"/>
      <c r="D440" s="29"/>
      <c r="E440" s="29"/>
      <c r="F440" s="29"/>
      <c r="G440" s="29"/>
      <c r="H440" s="15">
        <v>21</v>
      </c>
      <c r="I440" s="15">
        <v>22</v>
      </c>
      <c r="J440" s="15">
        <f t="shared" si="96"/>
        <v>15</v>
      </c>
      <c r="K440" s="15">
        <f t="shared" si="95"/>
        <v>16</v>
      </c>
      <c r="L440" s="15">
        <v>-11.26</v>
      </c>
      <c r="M440" s="15">
        <v>5.67</v>
      </c>
      <c r="N440" s="36">
        <f t="shared" si="92"/>
        <v>1.9858906525573192</v>
      </c>
    </row>
    <row r="441" spans="1:14" x14ac:dyDescent="0.15">
      <c r="A441" s="29"/>
      <c r="B441" s="29"/>
      <c r="C441" s="29"/>
      <c r="D441" s="29"/>
      <c r="E441" s="29"/>
      <c r="F441" s="29"/>
      <c r="G441" s="29"/>
      <c r="H441" s="15">
        <v>21</v>
      </c>
      <c r="I441" s="15">
        <v>22</v>
      </c>
      <c r="J441" s="15">
        <f t="shared" si="96"/>
        <v>16</v>
      </c>
      <c r="K441" s="15">
        <f t="shared" si="95"/>
        <v>17</v>
      </c>
      <c r="L441" s="15">
        <v>-21.48</v>
      </c>
      <c r="M441" s="15">
        <v>5.51</v>
      </c>
      <c r="N441" s="36">
        <f t="shared" si="92"/>
        <v>3.8983666061705993</v>
      </c>
    </row>
    <row r="442" spans="1:14" x14ac:dyDescent="0.15">
      <c r="A442" s="29"/>
      <c r="B442" s="29"/>
      <c r="C442" s="29"/>
      <c r="D442" s="29"/>
      <c r="E442" s="29"/>
      <c r="F442" s="29"/>
      <c r="G442" s="29"/>
      <c r="H442" s="15">
        <v>21</v>
      </c>
      <c r="I442" s="15">
        <v>22</v>
      </c>
      <c r="J442" s="15">
        <f t="shared" si="96"/>
        <v>17</v>
      </c>
      <c r="K442" s="15">
        <f t="shared" si="95"/>
        <v>18</v>
      </c>
      <c r="L442" s="15">
        <v>-37.409999999999997</v>
      </c>
      <c r="M442" s="15">
        <v>5.26</v>
      </c>
      <c r="N442" s="36">
        <f t="shared" si="92"/>
        <v>7.1121673003802277</v>
      </c>
    </row>
    <row r="443" spans="1:14" x14ac:dyDescent="0.15">
      <c r="A443" s="29"/>
      <c r="B443" s="29"/>
      <c r="C443" s="29"/>
      <c r="D443" s="29"/>
      <c r="E443" s="29"/>
      <c r="F443" s="29"/>
      <c r="G443" s="29"/>
      <c r="H443" s="15">
        <v>21</v>
      </c>
      <c r="I443" s="15">
        <v>22</v>
      </c>
      <c r="J443" s="15">
        <f t="shared" si="96"/>
        <v>18</v>
      </c>
      <c r="K443" s="15">
        <f t="shared" si="95"/>
        <v>19</v>
      </c>
      <c r="L443" s="15">
        <v>-97.35</v>
      </c>
      <c r="M443" s="15">
        <v>5.42</v>
      </c>
      <c r="N443" s="36">
        <f t="shared" si="92"/>
        <v>17.961254612546124</v>
      </c>
    </row>
    <row r="444" spans="1:14" x14ac:dyDescent="0.15">
      <c r="A444" s="29"/>
      <c r="B444" s="29"/>
      <c r="C444" s="29"/>
      <c r="D444" s="29"/>
      <c r="E444" s="29"/>
      <c r="F444" s="29"/>
      <c r="G444" s="29"/>
      <c r="H444" s="15">
        <v>21</v>
      </c>
      <c r="I444" s="15">
        <v>22</v>
      </c>
      <c r="J444" s="15">
        <f t="shared" si="96"/>
        <v>19</v>
      </c>
      <c r="K444" s="15">
        <f t="shared" si="95"/>
        <v>20</v>
      </c>
      <c r="L444" s="15">
        <v>-342.19</v>
      </c>
      <c r="M444" s="15">
        <v>5.39</v>
      </c>
      <c r="N444" s="36">
        <f t="shared" si="92"/>
        <v>63.486085343228204</v>
      </c>
    </row>
    <row r="445" spans="1:14" x14ac:dyDescent="0.15">
      <c r="A445" s="29"/>
      <c r="B445" s="29"/>
      <c r="C445" s="29"/>
      <c r="D445" s="29"/>
      <c r="E445" s="29"/>
      <c r="F445" s="29"/>
      <c r="G445" s="29"/>
      <c r="H445" s="15">
        <v>22</v>
      </c>
      <c r="I445" s="15">
        <v>23</v>
      </c>
      <c r="J445" s="15">
        <f>I445+1</f>
        <v>24</v>
      </c>
      <c r="K445" s="15">
        <v>1</v>
      </c>
      <c r="L445" s="15">
        <v>-309.45</v>
      </c>
      <c r="M445" s="15">
        <v>4.41</v>
      </c>
      <c r="N445" s="36">
        <f t="shared" si="92"/>
        <v>70.170068027210874</v>
      </c>
    </row>
    <row r="446" spans="1:14" x14ac:dyDescent="0.15">
      <c r="A446" s="29"/>
      <c r="B446" s="29"/>
      <c r="C446" s="29"/>
      <c r="D446" s="29"/>
      <c r="E446" s="29"/>
      <c r="F446" s="29"/>
      <c r="G446" s="29"/>
      <c r="H446" s="15">
        <v>22</v>
      </c>
      <c r="I446" s="15">
        <v>23</v>
      </c>
      <c r="J446" s="15">
        <v>1</v>
      </c>
      <c r="K446" s="15">
        <f t="shared" ref="K446:K465" si="97">K445+1</f>
        <v>2</v>
      </c>
      <c r="L446" s="15">
        <v>-109.85</v>
      </c>
      <c r="M446" s="15">
        <v>6.09</v>
      </c>
      <c r="N446" s="36">
        <f t="shared" si="92"/>
        <v>18.037766830870279</v>
      </c>
    </row>
    <row r="447" spans="1:14" x14ac:dyDescent="0.15">
      <c r="A447" s="29"/>
      <c r="B447" s="29"/>
      <c r="C447" s="29"/>
      <c r="D447" s="29"/>
      <c r="E447" s="29"/>
      <c r="F447" s="29"/>
      <c r="G447" s="29"/>
      <c r="H447" s="15">
        <v>22</v>
      </c>
      <c r="I447" s="15">
        <v>23</v>
      </c>
      <c r="J447" s="15">
        <f t="shared" ref="J447:J465" si="98">J446+1</f>
        <v>2</v>
      </c>
      <c r="K447" s="15">
        <f t="shared" si="97"/>
        <v>3</v>
      </c>
      <c r="L447" s="15">
        <v>-44.09</v>
      </c>
      <c r="M447" s="15">
        <v>6.87</v>
      </c>
      <c r="N447" s="36">
        <f t="shared" si="92"/>
        <v>6.4177583697234359</v>
      </c>
    </row>
    <row r="448" spans="1:14" x14ac:dyDescent="0.15">
      <c r="A448" s="29"/>
      <c r="B448" s="29"/>
      <c r="C448" s="29"/>
      <c r="D448" s="29"/>
      <c r="E448" s="29"/>
      <c r="F448" s="29"/>
      <c r="G448" s="29"/>
      <c r="H448" s="15">
        <v>22</v>
      </c>
      <c r="I448" s="15">
        <v>23</v>
      </c>
      <c r="J448" s="15">
        <f t="shared" si="98"/>
        <v>3</v>
      </c>
      <c r="K448" s="15">
        <f t="shared" si="97"/>
        <v>4</v>
      </c>
      <c r="L448" s="15">
        <v>-22.45</v>
      </c>
      <c r="M448" s="15">
        <v>6.51</v>
      </c>
      <c r="N448" s="36">
        <f t="shared" si="92"/>
        <v>3.4485407066052227</v>
      </c>
    </row>
    <row r="449" spans="1:14" x14ac:dyDescent="0.15">
      <c r="A449" s="29"/>
      <c r="B449" s="29"/>
      <c r="C449" s="29"/>
      <c r="D449" s="29"/>
      <c r="E449" s="29"/>
      <c r="F449" s="29"/>
      <c r="G449" s="29"/>
      <c r="H449" s="15">
        <v>22</v>
      </c>
      <c r="I449" s="15">
        <v>23</v>
      </c>
      <c r="J449" s="15">
        <f t="shared" si="98"/>
        <v>4</v>
      </c>
      <c r="K449" s="15">
        <f t="shared" si="97"/>
        <v>5</v>
      </c>
      <c r="L449" s="15">
        <v>-9.76</v>
      </c>
      <c r="M449" s="15">
        <v>6.59</v>
      </c>
      <c r="N449" s="36">
        <f t="shared" si="92"/>
        <v>1.4810318664643398</v>
      </c>
    </row>
    <row r="450" spans="1:14" x14ac:dyDescent="0.15">
      <c r="A450" s="29"/>
      <c r="B450" s="29"/>
      <c r="C450" s="29"/>
      <c r="D450" s="29"/>
      <c r="E450" s="29"/>
      <c r="F450" s="29"/>
      <c r="G450" s="29"/>
      <c r="H450" s="15">
        <v>22</v>
      </c>
      <c r="I450" s="15">
        <v>23</v>
      </c>
      <c r="J450" s="15">
        <f t="shared" si="98"/>
        <v>5</v>
      </c>
      <c r="K450" s="15">
        <f t="shared" si="97"/>
        <v>6</v>
      </c>
      <c r="L450" s="15">
        <v>-7.71</v>
      </c>
      <c r="M450" s="15">
        <v>6.23</v>
      </c>
      <c r="N450" s="36">
        <f t="shared" si="92"/>
        <v>1.2375601926163724</v>
      </c>
    </row>
    <row r="451" spans="1:14" x14ac:dyDescent="0.15">
      <c r="A451" s="29"/>
      <c r="B451" s="29"/>
      <c r="C451" s="29"/>
      <c r="D451" s="29"/>
      <c r="E451" s="29"/>
      <c r="F451" s="29"/>
      <c r="G451" s="29"/>
      <c r="H451" s="15">
        <v>22</v>
      </c>
      <c r="I451" s="15">
        <v>23</v>
      </c>
      <c r="J451" s="15">
        <f t="shared" si="98"/>
        <v>6</v>
      </c>
      <c r="K451" s="15">
        <f t="shared" si="97"/>
        <v>7</v>
      </c>
      <c r="L451" s="15">
        <v>-8.59</v>
      </c>
      <c r="M451" s="15">
        <v>6.4</v>
      </c>
      <c r="N451" s="36">
        <f t="shared" si="92"/>
        <v>1.3421874999999999</v>
      </c>
    </row>
    <row r="452" spans="1:14" x14ac:dyDescent="0.15">
      <c r="A452" s="29"/>
      <c r="B452" s="29"/>
      <c r="C452" s="29"/>
      <c r="D452" s="29"/>
      <c r="E452" s="29"/>
      <c r="F452" s="29"/>
      <c r="G452" s="29"/>
      <c r="H452" s="15">
        <v>22</v>
      </c>
      <c r="I452" s="15">
        <v>23</v>
      </c>
      <c r="J452" s="15">
        <f t="shared" si="98"/>
        <v>7</v>
      </c>
      <c r="K452" s="15">
        <f t="shared" si="97"/>
        <v>8</v>
      </c>
      <c r="L452" s="15">
        <v>-4.0199999999999996</v>
      </c>
      <c r="M452" s="15">
        <v>6.16</v>
      </c>
      <c r="N452" s="36">
        <f t="shared" si="92"/>
        <v>0.65259740259740251</v>
      </c>
    </row>
    <row r="453" spans="1:14" x14ac:dyDescent="0.15">
      <c r="A453" s="29"/>
      <c r="B453" s="29"/>
      <c r="C453" s="29"/>
      <c r="D453" s="29"/>
      <c r="E453" s="29"/>
      <c r="F453" s="29"/>
      <c r="G453" s="29"/>
      <c r="H453" s="15">
        <v>22</v>
      </c>
      <c r="I453" s="15">
        <v>23</v>
      </c>
      <c r="J453" s="15">
        <f t="shared" si="98"/>
        <v>8</v>
      </c>
      <c r="K453" s="15">
        <f t="shared" si="97"/>
        <v>9</v>
      </c>
      <c r="L453" s="15">
        <v>-3.03</v>
      </c>
      <c r="M453" s="15">
        <v>6.3</v>
      </c>
      <c r="N453" s="36">
        <f t="shared" ref="N453:N507" si="99">-L453/M453</f>
        <v>0.48095238095238091</v>
      </c>
    </row>
    <row r="454" spans="1:14" x14ac:dyDescent="0.15">
      <c r="A454" s="29"/>
      <c r="B454" s="29"/>
      <c r="C454" s="29"/>
      <c r="D454" s="29"/>
      <c r="E454" s="29"/>
      <c r="F454" s="29"/>
      <c r="G454" s="29"/>
      <c r="H454" s="15">
        <v>22</v>
      </c>
      <c r="I454" s="15">
        <v>23</v>
      </c>
      <c r="J454" s="15">
        <f t="shared" si="98"/>
        <v>9</v>
      </c>
      <c r="K454" s="15">
        <f t="shared" si="97"/>
        <v>10</v>
      </c>
      <c r="L454" s="15">
        <v>-0.56999999999999995</v>
      </c>
      <c r="M454" s="15">
        <v>6.44</v>
      </c>
      <c r="N454" s="36">
        <f t="shared" si="99"/>
        <v>8.8509316770186322E-2</v>
      </c>
    </row>
    <row r="455" spans="1:14" x14ac:dyDescent="0.15">
      <c r="A455" s="29"/>
      <c r="B455" s="29"/>
      <c r="C455" s="29"/>
      <c r="D455" s="29"/>
      <c r="E455" s="29"/>
      <c r="F455" s="29"/>
      <c r="G455" s="29"/>
      <c r="H455" s="15">
        <v>22</v>
      </c>
      <c r="I455" s="15">
        <v>23</v>
      </c>
      <c r="J455" s="15">
        <f t="shared" si="98"/>
        <v>10</v>
      </c>
      <c r="K455" s="15">
        <f t="shared" si="97"/>
        <v>11</v>
      </c>
      <c r="L455" s="15">
        <v>-2.61</v>
      </c>
      <c r="M455" s="15">
        <v>6.15</v>
      </c>
      <c r="N455" s="36">
        <f t="shared" si="99"/>
        <v>0.42439024390243896</v>
      </c>
    </row>
    <row r="456" spans="1:14" x14ac:dyDescent="0.15">
      <c r="A456" s="29"/>
      <c r="B456" s="29"/>
      <c r="C456" s="29"/>
      <c r="D456" s="29"/>
      <c r="E456" s="29"/>
      <c r="F456" s="29"/>
      <c r="G456" s="29"/>
      <c r="H456" s="15">
        <v>22</v>
      </c>
      <c r="I456" s="15">
        <v>23</v>
      </c>
      <c r="J456" s="15">
        <f t="shared" si="98"/>
        <v>11</v>
      </c>
      <c r="K456" s="15">
        <f t="shared" si="97"/>
        <v>12</v>
      </c>
      <c r="L456" s="15">
        <v>-3.35</v>
      </c>
      <c r="M456" s="15">
        <v>6.16</v>
      </c>
      <c r="N456" s="36">
        <f t="shared" si="99"/>
        <v>0.54383116883116889</v>
      </c>
    </row>
    <row r="457" spans="1:14" x14ac:dyDescent="0.15">
      <c r="A457" s="29"/>
      <c r="B457" s="29"/>
      <c r="C457" s="29"/>
      <c r="D457" s="29"/>
      <c r="E457" s="29"/>
      <c r="F457" s="29"/>
      <c r="G457" s="29"/>
      <c r="H457" s="15">
        <v>22</v>
      </c>
      <c r="I457" s="15">
        <v>23</v>
      </c>
      <c r="J457" s="15">
        <f t="shared" si="98"/>
        <v>12</v>
      </c>
      <c r="K457" s="15">
        <f t="shared" si="97"/>
        <v>13</v>
      </c>
      <c r="L457" s="15">
        <v>-4.41</v>
      </c>
      <c r="M457" s="15">
        <v>6.16</v>
      </c>
      <c r="N457" s="36">
        <f t="shared" si="99"/>
        <v>0.71590909090909094</v>
      </c>
    </row>
    <row r="458" spans="1:14" x14ac:dyDescent="0.15">
      <c r="A458" s="29"/>
      <c r="B458" s="29"/>
      <c r="C458" s="29"/>
      <c r="D458" s="29"/>
      <c r="E458" s="29"/>
      <c r="F458" s="29"/>
      <c r="G458" s="29"/>
      <c r="H458" s="15">
        <v>22</v>
      </c>
      <c r="I458" s="15">
        <v>23</v>
      </c>
      <c r="J458" s="15">
        <f t="shared" si="98"/>
        <v>13</v>
      </c>
      <c r="K458" s="15">
        <f t="shared" si="97"/>
        <v>14</v>
      </c>
      <c r="L458" s="36">
        <v>-2.58</v>
      </c>
      <c r="M458" s="36">
        <v>5.92</v>
      </c>
      <c r="N458" s="36">
        <f t="shared" si="99"/>
        <v>0.4358108108108108</v>
      </c>
    </row>
    <row r="459" spans="1:14" x14ac:dyDescent="0.15">
      <c r="A459" s="29"/>
      <c r="B459" s="29"/>
      <c r="C459" s="29"/>
      <c r="D459" s="29"/>
      <c r="E459" s="29"/>
      <c r="F459" s="29"/>
      <c r="G459" s="29"/>
      <c r="H459" s="15">
        <v>22</v>
      </c>
      <c r="I459" s="15">
        <v>23</v>
      </c>
      <c r="J459" s="15">
        <f t="shared" si="98"/>
        <v>14</v>
      </c>
      <c r="K459" s="15">
        <f t="shared" si="97"/>
        <v>15</v>
      </c>
      <c r="L459" s="36">
        <v>-0.72</v>
      </c>
      <c r="M459" s="36">
        <v>6.07</v>
      </c>
      <c r="N459" s="36">
        <f t="shared" si="99"/>
        <v>0.11861614497528829</v>
      </c>
    </row>
    <row r="460" spans="1:14" x14ac:dyDescent="0.15">
      <c r="A460" s="29"/>
      <c r="B460" s="29"/>
      <c r="C460" s="29"/>
      <c r="D460" s="29"/>
      <c r="E460" s="29"/>
      <c r="F460" s="29"/>
      <c r="G460" s="29"/>
      <c r="H460" s="15">
        <v>22</v>
      </c>
      <c r="I460" s="15">
        <v>23</v>
      </c>
      <c r="J460" s="15">
        <f t="shared" si="98"/>
        <v>15</v>
      </c>
      <c r="K460" s="15">
        <f t="shared" si="97"/>
        <v>16</v>
      </c>
      <c r="L460" s="36">
        <v>7.14</v>
      </c>
      <c r="M460" s="36">
        <v>5.59</v>
      </c>
      <c r="N460" s="36">
        <f t="shared" si="99"/>
        <v>-1.2772808586762074</v>
      </c>
    </row>
    <row r="461" spans="1:14" x14ac:dyDescent="0.15">
      <c r="A461" s="29"/>
      <c r="B461" s="29"/>
      <c r="C461" s="29"/>
      <c r="D461" s="29"/>
      <c r="E461" s="29"/>
      <c r="F461" s="29"/>
      <c r="G461" s="29"/>
      <c r="H461" s="15">
        <v>22</v>
      </c>
      <c r="I461" s="15">
        <v>23</v>
      </c>
      <c r="J461" s="15">
        <f t="shared" si="98"/>
        <v>16</v>
      </c>
      <c r="K461" s="15">
        <f t="shared" si="97"/>
        <v>17</v>
      </c>
      <c r="L461" s="15">
        <v>-11.16</v>
      </c>
      <c r="M461" s="15">
        <v>5.67</v>
      </c>
      <c r="N461" s="36">
        <f t="shared" si="99"/>
        <v>1.9682539682539684</v>
      </c>
    </row>
    <row r="462" spans="1:14" x14ac:dyDescent="0.15">
      <c r="A462" s="29"/>
      <c r="B462" s="29"/>
      <c r="C462" s="29"/>
      <c r="D462" s="29"/>
      <c r="E462" s="29"/>
      <c r="F462" s="29"/>
      <c r="G462" s="29"/>
      <c r="H462" s="15">
        <v>22</v>
      </c>
      <c r="I462" s="15">
        <v>23</v>
      </c>
      <c r="J462" s="15">
        <f t="shared" si="98"/>
        <v>17</v>
      </c>
      <c r="K462" s="15">
        <f t="shared" si="97"/>
        <v>18</v>
      </c>
      <c r="L462" s="15">
        <v>-20.48</v>
      </c>
      <c r="M462" s="15">
        <v>5.81</v>
      </c>
      <c r="N462" s="36">
        <f t="shared" si="99"/>
        <v>3.5249569707401034</v>
      </c>
    </row>
    <row r="463" spans="1:14" x14ac:dyDescent="0.15">
      <c r="A463" s="29"/>
      <c r="B463" s="29"/>
      <c r="C463" s="29"/>
      <c r="D463" s="29"/>
      <c r="E463" s="29"/>
      <c r="F463" s="29"/>
      <c r="G463" s="29"/>
      <c r="H463" s="15">
        <v>22</v>
      </c>
      <c r="I463" s="15">
        <v>23</v>
      </c>
      <c r="J463" s="15">
        <f t="shared" si="98"/>
        <v>18</v>
      </c>
      <c r="K463" s="15">
        <f t="shared" si="97"/>
        <v>19</v>
      </c>
      <c r="L463" s="15">
        <v>-39.74</v>
      </c>
      <c r="M463" s="15">
        <v>5.7</v>
      </c>
      <c r="N463" s="36">
        <f t="shared" si="99"/>
        <v>6.9719298245614034</v>
      </c>
    </row>
    <row r="464" spans="1:14" x14ac:dyDescent="0.15">
      <c r="A464" s="29"/>
      <c r="B464" s="29"/>
      <c r="C464" s="29"/>
      <c r="D464" s="29"/>
      <c r="E464" s="29"/>
      <c r="F464" s="29"/>
      <c r="G464" s="29"/>
      <c r="H464" s="15">
        <v>22</v>
      </c>
      <c r="I464" s="15">
        <v>23</v>
      </c>
      <c r="J464" s="15">
        <f t="shared" si="98"/>
        <v>19</v>
      </c>
      <c r="K464" s="15">
        <f t="shared" si="97"/>
        <v>20</v>
      </c>
      <c r="L464" s="15">
        <v>-93.29</v>
      </c>
      <c r="M464" s="15">
        <v>5.68</v>
      </c>
      <c r="N464" s="36">
        <f t="shared" si="99"/>
        <v>16.424295774647888</v>
      </c>
    </row>
    <row r="465" spans="1:14" x14ac:dyDescent="0.15">
      <c r="A465" s="29"/>
      <c r="B465" s="29"/>
      <c r="C465" s="29"/>
      <c r="D465" s="29"/>
      <c r="E465" s="29"/>
      <c r="F465" s="29"/>
      <c r="G465" s="29"/>
      <c r="H465" s="15">
        <v>22</v>
      </c>
      <c r="I465" s="15">
        <v>23</v>
      </c>
      <c r="J465" s="15">
        <f t="shared" si="98"/>
        <v>20</v>
      </c>
      <c r="K465" s="15">
        <f t="shared" si="97"/>
        <v>21</v>
      </c>
      <c r="L465" s="15">
        <v>-368.42</v>
      </c>
      <c r="M465" s="15">
        <v>5.65</v>
      </c>
      <c r="N465" s="36">
        <f t="shared" si="99"/>
        <v>65.207079646017704</v>
      </c>
    </row>
    <row r="466" spans="1:14" x14ac:dyDescent="0.15">
      <c r="A466" s="29"/>
      <c r="B466" s="29"/>
      <c r="C466" s="29"/>
      <c r="D466" s="29"/>
      <c r="E466" s="29"/>
      <c r="F466" s="29"/>
      <c r="G466" s="29"/>
      <c r="H466" s="15">
        <v>23</v>
      </c>
      <c r="I466" s="15">
        <v>24</v>
      </c>
      <c r="J466" s="15">
        <v>1</v>
      </c>
      <c r="K466" s="15">
        <v>2</v>
      </c>
      <c r="L466" s="15">
        <v>-278.69</v>
      </c>
      <c r="M466" s="15">
        <v>4.12</v>
      </c>
      <c r="N466" s="36">
        <f t="shared" si="99"/>
        <v>67.643203883495147</v>
      </c>
    </row>
    <row r="467" spans="1:14" x14ac:dyDescent="0.15">
      <c r="A467" s="29"/>
      <c r="B467" s="29"/>
      <c r="C467" s="29"/>
      <c r="D467" s="29"/>
      <c r="E467" s="29"/>
      <c r="F467" s="29"/>
      <c r="G467" s="29"/>
      <c r="H467" s="15">
        <v>23</v>
      </c>
      <c r="I467" s="15">
        <v>24</v>
      </c>
      <c r="J467" s="15">
        <f t="shared" ref="J467:J486" si="100">J466+1</f>
        <v>2</v>
      </c>
      <c r="K467" s="15">
        <f t="shared" ref="K467:K486" si="101">K466+1</f>
        <v>3</v>
      </c>
      <c r="L467" s="15">
        <v>-71.61</v>
      </c>
      <c r="M467" s="15">
        <v>4.5999999999999996</v>
      </c>
      <c r="N467" s="36">
        <f t="shared" si="99"/>
        <v>15.567391304347828</v>
      </c>
    </row>
    <row r="468" spans="1:14" x14ac:dyDescent="0.15">
      <c r="A468" s="29"/>
      <c r="B468" s="29"/>
      <c r="C468" s="29"/>
      <c r="D468" s="29"/>
      <c r="E468" s="29"/>
      <c r="F468" s="29"/>
      <c r="G468" s="29"/>
      <c r="H468" s="15">
        <v>23</v>
      </c>
      <c r="I468" s="15">
        <v>24</v>
      </c>
      <c r="J468" s="15">
        <f t="shared" si="100"/>
        <v>3</v>
      </c>
      <c r="K468" s="15">
        <f t="shared" si="101"/>
        <v>4</v>
      </c>
      <c r="L468" s="15">
        <v>-29.87</v>
      </c>
      <c r="M468" s="15">
        <v>4.09</v>
      </c>
      <c r="N468" s="36">
        <f t="shared" si="99"/>
        <v>7.3031784841075797</v>
      </c>
    </row>
    <row r="469" spans="1:14" x14ac:dyDescent="0.15">
      <c r="A469" s="29"/>
      <c r="B469" s="29"/>
      <c r="C469" s="29"/>
      <c r="D469" s="29"/>
      <c r="E469" s="29"/>
      <c r="F469" s="29"/>
      <c r="G469" s="29"/>
      <c r="H469" s="15">
        <v>23</v>
      </c>
      <c r="I469" s="15">
        <v>24</v>
      </c>
      <c r="J469" s="15">
        <f t="shared" si="100"/>
        <v>4</v>
      </c>
      <c r="K469" s="15">
        <f t="shared" si="101"/>
        <v>5</v>
      </c>
      <c r="L469" s="15">
        <v>-22.28</v>
      </c>
      <c r="M469" s="15">
        <v>4.08</v>
      </c>
      <c r="N469" s="36">
        <f t="shared" si="99"/>
        <v>5.4607843137254903</v>
      </c>
    </row>
    <row r="470" spans="1:14" x14ac:dyDescent="0.15">
      <c r="A470" s="29"/>
      <c r="B470" s="29"/>
      <c r="C470" s="29"/>
      <c r="D470" s="29"/>
      <c r="E470" s="29"/>
      <c r="F470" s="29"/>
      <c r="G470" s="29"/>
      <c r="H470" s="15">
        <v>23</v>
      </c>
      <c r="I470" s="15">
        <v>24</v>
      </c>
      <c r="J470" s="15">
        <f t="shared" si="100"/>
        <v>5</v>
      </c>
      <c r="K470" s="15">
        <f t="shared" si="101"/>
        <v>6</v>
      </c>
      <c r="L470" s="15">
        <v>-8.24</v>
      </c>
      <c r="M470" s="15">
        <v>3.99</v>
      </c>
      <c r="N470" s="36">
        <f t="shared" si="99"/>
        <v>2.0651629072681703</v>
      </c>
    </row>
    <row r="471" spans="1:14" x14ac:dyDescent="0.15">
      <c r="A471" s="29"/>
      <c r="B471" s="29"/>
      <c r="C471" s="29"/>
      <c r="D471" s="29"/>
      <c r="E471" s="29"/>
      <c r="F471" s="29"/>
      <c r="G471" s="29"/>
      <c r="H471" s="15">
        <v>23</v>
      </c>
      <c r="I471" s="15">
        <v>24</v>
      </c>
      <c r="J471" s="15">
        <f t="shared" si="100"/>
        <v>6</v>
      </c>
      <c r="K471" s="15">
        <f t="shared" si="101"/>
        <v>7</v>
      </c>
      <c r="L471" s="15">
        <v>-8.75</v>
      </c>
      <c r="M471" s="15">
        <v>4.08</v>
      </c>
      <c r="N471" s="36">
        <f t="shared" si="99"/>
        <v>2.1446078431372548</v>
      </c>
    </row>
    <row r="472" spans="1:14" x14ac:dyDescent="0.15">
      <c r="A472" s="29"/>
      <c r="B472" s="29"/>
      <c r="C472" s="29"/>
      <c r="D472" s="29"/>
      <c r="E472" s="29"/>
      <c r="F472" s="29"/>
      <c r="G472" s="29"/>
      <c r="H472" s="15">
        <v>23</v>
      </c>
      <c r="I472" s="15">
        <v>24</v>
      </c>
      <c r="J472" s="15">
        <f t="shared" si="100"/>
        <v>7</v>
      </c>
      <c r="K472" s="15">
        <f t="shared" si="101"/>
        <v>8</v>
      </c>
      <c r="L472" s="15">
        <v>-8.33</v>
      </c>
      <c r="M472" s="15">
        <v>4.2300000000000004</v>
      </c>
      <c r="N472" s="36">
        <f t="shared" si="99"/>
        <v>1.9692671394799053</v>
      </c>
    </row>
    <row r="473" spans="1:14" x14ac:dyDescent="0.15">
      <c r="A473" s="29"/>
      <c r="B473" s="29"/>
      <c r="C473" s="29"/>
      <c r="D473" s="29"/>
      <c r="E473" s="29"/>
      <c r="F473" s="29"/>
      <c r="G473" s="29"/>
      <c r="H473" s="15">
        <v>23</v>
      </c>
      <c r="I473" s="15">
        <v>24</v>
      </c>
      <c r="J473" s="15">
        <f t="shared" si="100"/>
        <v>8</v>
      </c>
      <c r="K473" s="15">
        <f t="shared" si="101"/>
        <v>9</v>
      </c>
      <c r="L473" s="15">
        <v>-5.08</v>
      </c>
      <c r="M473" s="15">
        <v>4.3899999999999997</v>
      </c>
      <c r="N473" s="36">
        <f t="shared" si="99"/>
        <v>1.1571753986332576</v>
      </c>
    </row>
    <row r="474" spans="1:14" x14ac:dyDescent="0.15">
      <c r="A474" s="29"/>
      <c r="B474" s="29"/>
      <c r="C474" s="29"/>
      <c r="D474" s="29"/>
      <c r="E474" s="29"/>
      <c r="F474" s="29"/>
      <c r="G474" s="29"/>
      <c r="H474" s="15">
        <v>23</v>
      </c>
      <c r="I474" s="15">
        <v>24</v>
      </c>
      <c r="J474" s="15">
        <f t="shared" si="100"/>
        <v>9</v>
      </c>
      <c r="K474" s="15">
        <f t="shared" si="101"/>
        <v>10</v>
      </c>
      <c r="L474" s="15">
        <v>-5.5</v>
      </c>
      <c r="M474" s="15">
        <v>4.6399999999999997</v>
      </c>
      <c r="N474" s="36">
        <f t="shared" si="99"/>
        <v>1.1853448275862071</v>
      </c>
    </row>
    <row r="475" spans="1:14" x14ac:dyDescent="0.15">
      <c r="A475" s="29"/>
      <c r="B475" s="29"/>
      <c r="C475" s="29"/>
      <c r="D475" s="29"/>
      <c r="E475" s="29"/>
      <c r="F475" s="29"/>
      <c r="G475" s="29"/>
      <c r="H475" s="15">
        <v>23</v>
      </c>
      <c r="I475" s="15">
        <v>24</v>
      </c>
      <c r="J475" s="15">
        <f t="shared" si="100"/>
        <v>10</v>
      </c>
      <c r="K475" s="15">
        <f t="shared" si="101"/>
        <v>11</v>
      </c>
      <c r="L475" s="15">
        <v>-3.47</v>
      </c>
      <c r="M475" s="15">
        <v>4.5199999999999996</v>
      </c>
      <c r="N475" s="36">
        <f t="shared" si="99"/>
        <v>0.76769911504424793</v>
      </c>
    </row>
    <row r="476" spans="1:14" x14ac:dyDescent="0.15">
      <c r="A476" s="29"/>
      <c r="B476" s="29"/>
      <c r="C476" s="29"/>
      <c r="D476" s="29"/>
      <c r="E476" s="29"/>
      <c r="F476" s="29"/>
      <c r="G476" s="29"/>
      <c r="H476" s="15">
        <v>23</v>
      </c>
      <c r="I476" s="15">
        <v>24</v>
      </c>
      <c r="J476" s="15">
        <f t="shared" si="100"/>
        <v>11</v>
      </c>
      <c r="K476" s="15">
        <f t="shared" si="101"/>
        <v>12</v>
      </c>
      <c r="L476" s="15">
        <v>-1.65</v>
      </c>
      <c r="M476" s="15">
        <v>4.49</v>
      </c>
      <c r="N476" s="36">
        <f t="shared" si="99"/>
        <v>0.36748329621380843</v>
      </c>
    </row>
    <row r="477" spans="1:14" x14ac:dyDescent="0.15">
      <c r="A477" s="29"/>
      <c r="B477" s="29"/>
      <c r="C477" s="29"/>
      <c r="D477" s="29"/>
      <c r="E477" s="29"/>
      <c r="F477" s="29"/>
      <c r="G477" s="29"/>
      <c r="H477" s="15">
        <v>23</v>
      </c>
      <c r="I477" s="15">
        <v>24</v>
      </c>
      <c r="J477" s="15">
        <f t="shared" si="100"/>
        <v>12</v>
      </c>
      <c r="K477" s="15">
        <f t="shared" si="101"/>
        <v>13</v>
      </c>
      <c r="L477" s="15">
        <v>-1.94</v>
      </c>
      <c r="M477" s="15">
        <v>4.05</v>
      </c>
      <c r="N477" s="36">
        <f t="shared" si="99"/>
        <v>0.47901234567901235</v>
      </c>
    </row>
    <row r="478" spans="1:14" x14ac:dyDescent="0.15">
      <c r="A478" s="29"/>
      <c r="B478" s="29"/>
      <c r="C478" s="29"/>
      <c r="D478" s="29"/>
      <c r="E478" s="29"/>
      <c r="F478" s="29"/>
      <c r="G478" s="29"/>
      <c r="H478" s="15">
        <v>23</v>
      </c>
      <c r="I478" s="15">
        <v>24</v>
      </c>
      <c r="J478" s="15">
        <f t="shared" si="100"/>
        <v>13</v>
      </c>
      <c r="K478" s="15">
        <f t="shared" si="101"/>
        <v>14</v>
      </c>
      <c r="L478" s="15">
        <v>-7.02</v>
      </c>
      <c r="M478" s="15">
        <v>4.3099999999999996</v>
      </c>
      <c r="N478" s="36">
        <f t="shared" si="99"/>
        <v>1.6287703016241299</v>
      </c>
    </row>
    <row r="479" spans="1:14" x14ac:dyDescent="0.15">
      <c r="A479" s="29"/>
      <c r="B479" s="29"/>
      <c r="C479" s="29"/>
      <c r="D479" s="29"/>
      <c r="E479" s="29"/>
      <c r="F479" s="29"/>
      <c r="G479" s="29"/>
      <c r="H479" s="15">
        <v>23</v>
      </c>
      <c r="I479" s="15">
        <v>24</v>
      </c>
      <c r="J479" s="15">
        <f t="shared" si="100"/>
        <v>14</v>
      </c>
      <c r="K479" s="15">
        <f t="shared" si="101"/>
        <v>15</v>
      </c>
      <c r="L479" s="15">
        <v>-8.59</v>
      </c>
      <c r="M479" s="15">
        <v>4.5199999999999996</v>
      </c>
      <c r="N479" s="36">
        <f t="shared" si="99"/>
        <v>1.9004424778761064</v>
      </c>
    </row>
    <row r="480" spans="1:14" x14ac:dyDescent="0.15">
      <c r="A480" s="29"/>
      <c r="B480" s="29"/>
      <c r="C480" s="29"/>
      <c r="D480" s="29"/>
      <c r="E480" s="29"/>
      <c r="F480" s="29"/>
      <c r="G480" s="29"/>
      <c r="H480" s="15">
        <v>23</v>
      </c>
      <c r="I480" s="15">
        <v>24</v>
      </c>
      <c r="J480" s="15">
        <f t="shared" si="100"/>
        <v>15</v>
      </c>
      <c r="K480" s="15">
        <f t="shared" si="101"/>
        <v>16</v>
      </c>
      <c r="L480" s="15">
        <v>-3.75</v>
      </c>
      <c r="M480" s="15">
        <v>4.54</v>
      </c>
      <c r="N480" s="36">
        <f t="shared" si="99"/>
        <v>0.82599118942731276</v>
      </c>
    </row>
    <row r="481" spans="1:14" x14ac:dyDescent="0.15">
      <c r="A481" s="29"/>
      <c r="B481" s="29"/>
      <c r="C481" s="29"/>
      <c r="D481" s="29"/>
      <c r="E481" s="29"/>
      <c r="F481" s="29"/>
      <c r="G481" s="29"/>
      <c r="H481" s="15">
        <v>23</v>
      </c>
      <c r="I481" s="15">
        <v>24</v>
      </c>
      <c r="J481" s="15">
        <f t="shared" si="100"/>
        <v>16</v>
      </c>
      <c r="K481" s="15">
        <f t="shared" si="101"/>
        <v>17</v>
      </c>
      <c r="L481" s="15">
        <v>-7.78</v>
      </c>
      <c r="M481" s="15">
        <v>4.74</v>
      </c>
      <c r="N481" s="36">
        <f t="shared" si="99"/>
        <v>1.6413502109704641</v>
      </c>
    </row>
    <row r="482" spans="1:14" x14ac:dyDescent="0.15">
      <c r="A482" s="29"/>
      <c r="B482" s="29"/>
      <c r="C482" s="29"/>
      <c r="D482" s="29"/>
      <c r="E482" s="29"/>
      <c r="F482" s="29"/>
      <c r="G482" s="29"/>
      <c r="H482" s="15">
        <v>23</v>
      </c>
      <c r="I482" s="15">
        <v>24</v>
      </c>
      <c r="J482" s="15">
        <f t="shared" si="100"/>
        <v>17</v>
      </c>
      <c r="K482" s="15">
        <f t="shared" si="101"/>
        <v>18</v>
      </c>
      <c r="L482" s="15">
        <v>-10.56</v>
      </c>
      <c r="M482" s="15">
        <v>4.6399999999999997</v>
      </c>
      <c r="N482" s="36">
        <f t="shared" si="99"/>
        <v>2.2758620689655173</v>
      </c>
    </row>
    <row r="483" spans="1:14" x14ac:dyDescent="0.15">
      <c r="A483" s="29"/>
      <c r="B483" s="29"/>
      <c r="C483" s="29"/>
      <c r="D483" s="29"/>
      <c r="E483" s="29"/>
      <c r="F483" s="29"/>
      <c r="G483" s="29"/>
      <c r="H483" s="15">
        <v>23</v>
      </c>
      <c r="I483" s="15">
        <v>24</v>
      </c>
      <c r="J483" s="15">
        <f t="shared" si="100"/>
        <v>18</v>
      </c>
      <c r="K483" s="15">
        <f t="shared" si="101"/>
        <v>19</v>
      </c>
      <c r="L483" s="15">
        <v>-18.989999999999998</v>
      </c>
      <c r="M483" s="15">
        <v>4.76</v>
      </c>
      <c r="N483" s="36">
        <f t="shared" si="99"/>
        <v>3.9894957983193278</v>
      </c>
    </row>
    <row r="484" spans="1:14" x14ac:dyDescent="0.15">
      <c r="A484" s="29"/>
      <c r="B484" s="29"/>
      <c r="C484" s="29"/>
      <c r="D484" s="29"/>
      <c r="E484" s="29"/>
      <c r="F484" s="29"/>
      <c r="G484" s="29"/>
      <c r="H484" s="15">
        <v>23</v>
      </c>
      <c r="I484" s="15">
        <v>24</v>
      </c>
      <c r="J484" s="15">
        <f t="shared" si="100"/>
        <v>19</v>
      </c>
      <c r="K484" s="15">
        <f t="shared" si="101"/>
        <v>20</v>
      </c>
      <c r="L484" s="15">
        <v>-35.159999999999997</v>
      </c>
      <c r="M484" s="15">
        <v>4.9800000000000004</v>
      </c>
      <c r="N484" s="36">
        <f t="shared" si="99"/>
        <v>7.0602409638554207</v>
      </c>
    </row>
    <row r="485" spans="1:14" x14ac:dyDescent="0.15">
      <c r="A485" s="29"/>
      <c r="B485" s="29"/>
      <c r="C485" s="29"/>
      <c r="D485" s="29"/>
      <c r="E485" s="29"/>
      <c r="F485" s="29"/>
      <c r="G485" s="29"/>
      <c r="H485" s="15">
        <v>23</v>
      </c>
      <c r="I485" s="15">
        <v>24</v>
      </c>
      <c r="J485" s="15">
        <f t="shared" si="100"/>
        <v>20</v>
      </c>
      <c r="K485" s="15">
        <f t="shared" si="101"/>
        <v>21</v>
      </c>
      <c r="L485" s="15">
        <v>-88.77</v>
      </c>
      <c r="M485" s="15">
        <v>4.8600000000000003</v>
      </c>
      <c r="N485" s="36">
        <f t="shared" si="99"/>
        <v>18.26543209876543</v>
      </c>
    </row>
    <row r="486" spans="1:14" x14ac:dyDescent="0.15">
      <c r="A486" s="29"/>
      <c r="B486" s="29"/>
      <c r="C486" s="29"/>
      <c r="D486" s="29"/>
      <c r="E486" s="29"/>
      <c r="F486" s="29"/>
      <c r="G486" s="29"/>
      <c r="H486" s="15">
        <v>23</v>
      </c>
      <c r="I486" s="15">
        <v>24</v>
      </c>
      <c r="J486" s="15">
        <f t="shared" si="100"/>
        <v>21</v>
      </c>
      <c r="K486" s="15">
        <f t="shared" si="101"/>
        <v>22</v>
      </c>
      <c r="L486" s="15">
        <v>-315.64</v>
      </c>
      <c r="M486" s="15">
        <v>4.7</v>
      </c>
      <c r="N486" s="36">
        <f t="shared" si="99"/>
        <v>67.157446808510628</v>
      </c>
    </row>
    <row r="487" spans="1:14" x14ac:dyDescent="0.15">
      <c r="A487" s="29"/>
      <c r="B487" s="29"/>
      <c r="C487" s="29"/>
      <c r="D487" s="29"/>
      <c r="E487" s="29"/>
      <c r="F487" s="29"/>
      <c r="G487" s="29"/>
      <c r="H487" s="15">
        <v>24</v>
      </c>
      <c r="I487" s="15">
        <v>1</v>
      </c>
      <c r="J487" s="15">
        <f>I487+1</f>
        <v>2</v>
      </c>
      <c r="K487" s="15">
        <f>J487+1</f>
        <v>3</v>
      </c>
      <c r="L487" s="15">
        <v>-344.77</v>
      </c>
      <c r="M487" s="15">
        <v>5.59</v>
      </c>
      <c r="N487" s="36">
        <f t="shared" si="99"/>
        <v>61.676207513416813</v>
      </c>
    </row>
    <row r="488" spans="1:14" x14ac:dyDescent="0.15">
      <c r="A488" s="29"/>
      <c r="B488" s="29"/>
      <c r="C488" s="29"/>
      <c r="D488" s="29"/>
      <c r="E488" s="29"/>
      <c r="F488" s="29"/>
      <c r="G488" s="29"/>
      <c r="H488" s="15">
        <v>24</v>
      </c>
      <c r="I488" s="15">
        <v>1</v>
      </c>
      <c r="J488" s="15">
        <f t="shared" ref="J488:J507" si="102">J487+1</f>
        <v>3</v>
      </c>
      <c r="K488" s="15">
        <f t="shared" ref="K488:K507" si="103">K487+1</f>
        <v>4</v>
      </c>
      <c r="L488" s="15">
        <v>-98.15</v>
      </c>
      <c r="M488" s="15">
        <v>6.01</v>
      </c>
      <c r="N488" s="36">
        <f t="shared" si="99"/>
        <v>16.331114808652249</v>
      </c>
    </row>
    <row r="489" spans="1:14" x14ac:dyDescent="0.15">
      <c r="A489" s="29"/>
      <c r="B489" s="29"/>
      <c r="C489" s="29"/>
      <c r="D489" s="29"/>
      <c r="E489" s="29"/>
      <c r="F489" s="29"/>
      <c r="G489" s="29"/>
      <c r="H489" s="15">
        <v>24</v>
      </c>
      <c r="I489" s="15">
        <v>1</v>
      </c>
      <c r="J489" s="15">
        <f t="shared" si="102"/>
        <v>4</v>
      </c>
      <c r="K489" s="15">
        <f t="shared" si="103"/>
        <v>5</v>
      </c>
      <c r="L489" s="15">
        <v>-53.3</v>
      </c>
      <c r="M489" s="15">
        <v>6.09</v>
      </c>
      <c r="N489" s="36">
        <f t="shared" si="99"/>
        <v>8.7520525451559923</v>
      </c>
    </row>
    <row r="490" spans="1:14" x14ac:dyDescent="0.15">
      <c r="A490" s="29"/>
      <c r="B490" s="29"/>
      <c r="C490" s="29"/>
      <c r="D490" s="29"/>
      <c r="E490" s="29"/>
      <c r="F490" s="29"/>
      <c r="G490" s="29"/>
      <c r="H490" s="15">
        <v>24</v>
      </c>
      <c r="I490" s="15">
        <v>1</v>
      </c>
      <c r="J490" s="15">
        <f t="shared" si="102"/>
        <v>5</v>
      </c>
      <c r="K490" s="15">
        <f t="shared" si="103"/>
        <v>6</v>
      </c>
      <c r="L490" s="15">
        <v>-20.12</v>
      </c>
      <c r="M490" s="15">
        <v>5.84</v>
      </c>
      <c r="N490" s="36">
        <f t="shared" si="99"/>
        <v>3.445205479452055</v>
      </c>
    </row>
    <row r="491" spans="1:14" x14ac:dyDescent="0.15">
      <c r="A491" s="29"/>
      <c r="B491" s="29"/>
      <c r="C491" s="29"/>
      <c r="D491" s="29"/>
      <c r="E491" s="29"/>
      <c r="F491" s="29"/>
      <c r="G491" s="29"/>
      <c r="H491" s="15">
        <v>24</v>
      </c>
      <c r="I491" s="15">
        <v>1</v>
      </c>
      <c r="J491" s="15">
        <f t="shared" si="102"/>
        <v>6</v>
      </c>
      <c r="K491" s="15">
        <f t="shared" si="103"/>
        <v>7</v>
      </c>
      <c r="L491" s="15">
        <v>-14.55</v>
      </c>
      <c r="M491" s="15">
        <v>5.76</v>
      </c>
      <c r="N491" s="36">
        <f t="shared" si="99"/>
        <v>2.526041666666667</v>
      </c>
    </row>
    <row r="492" spans="1:14" x14ac:dyDescent="0.15">
      <c r="A492" s="29"/>
      <c r="B492" s="29"/>
      <c r="C492" s="29"/>
      <c r="D492" s="29"/>
      <c r="E492" s="29"/>
      <c r="F492" s="29"/>
      <c r="G492" s="29"/>
      <c r="H492" s="15">
        <v>24</v>
      </c>
      <c r="I492" s="15">
        <v>1</v>
      </c>
      <c r="J492" s="15">
        <f t="shared" si="102"/>
        <v>7</v>
      </c>
      <c r="K492" s="15">
        <f t="shared" si="103"/>
        <v>8</v>
      </c>
      <c r="L492" s="15">
        <v>-10.7</v>
      </c>
      <c r="M492" s="15">
        <v>5.54</v>
      </c>
      <c r="N492" s="36">
        <f t="shared" si="99"/>
        <v>1.9314079422382671</v>
      </c>
    </row>
    <row r="493" spans="1:14" x14ac:dyDescent="0.15">
      <c r="A493" s="29"/>
      <c r="B493" s="29"/>
      <c r="C493" s="29"/>
      <c r="D493" s="29"/>
      <c r="E493" s="29"/>
      <c r="F493" s="29"/>
      <c r="G493" s="29"/>
      <c r="H493" s="15">
        <v>24</v>
      </c>
      <c r="I493" s="15">
        <v>1</v>
      </c>
      <c r="J493" s="15">
        <f t="shared" si="102"/>
        <v>8</v>
      </c>
      <c r="K493" s="15">
        <f t="shared" si="103"/>
        <v>9</v>
      </c>
      <c r="L493" s="15">
        <v>-8.27</v>
      </c>
      <c r="M493" s="15">
        <v>5.96</v>
      </c>
      <c r="N493" s="36">
        <f t="shared" si="99"/>
        <v>1.3875838926174495</v>
      </c>
    </row>
    <row r="494" spans="1:14" x14ac:dyDescent="0.15">
      <c r="A494" s="29"/>
      <c r="B494" s="29"/>
      <c r="C494" s="29"/>
      <c r="D494" s="29"/>
      <c r="E494" s="29"/>
      <c r="F494" s="29"/>
      <c r="G494" s="29"/>
      <c r="H494" s="15">
        <v>24</v>
      </c>
      <c r="I494" s="15">
        <v>1</v>
      </c>
      <c r="J494" s="15">
        <f t="shared" si="102"/>
        <v>9</v>
      </c>
      <c r="K494" s="15">
        <f t="shared" si="103"/>
        <v>10</v>
      </c>
      <c r="L494" s="15">
        <v>-8.1999999999999993</v>
      </c>
      <c r="M494" s="15">
        <v>5.81</v>
      </c>
      <c r="N494" s="36">
        <f t="shared" si="99"/>
        <v>1.4113597246127367</v>
      </c>
    </row>
    <row r="495" spans="1:14" x14ac:dyDescent="0.15">
      <c r="A495" s="29"/>
      <c r="B495" s="29"/>
      <c r="C495" s="29"/>
      <c r="D495" s="29"/>
      <c r="E495" s="29"/>
      <c r="F495" s="29"/>
      <c r="G495" s="29"/>
      <c r="H495" s="15">
        <v>24</v>
      </c>
      <c r="I495" s="15">
        <v>1</v>
      </c>
      <c r="J495" s="15">
        <f t="shared" si="102"/>
        <v>10</v>
      </c>
      <c r="K495" s="15">
        <f t="shared" si="103"/>
        <v>11</v>
      </c>
      <c r="L495" s="15">
        <v>-5.2</v>
      </c>
      <c r="M495" s="15">
        <v>5.71</v>
      </c>
      <c r="N495" s="36">
        <f t="shared" si="99"/>
        <v>0.91068301225919446</v>
      </c>
    </row>
    <row r="496" spans="1:14" x14ac:dyDescent="0.15">
      <c r="A496" s="29"/>
      <c r="B496" s="29"/>
      <c r="C496" s="29"/>
      <c r="D496" s="29"/>
      <c r="E496" s="29"/>
      <c r="F496" s="29"/>
      <c r="G496" s="29"/>
      <c r="H496" s="15">
        <v>24</v>
      </c>
      <c r="I496" s="15">
        <v>1</v>
      </c>
      <c r="J496" s="15">
        <f t="shared" si="102"/>
        <v>11</v>
      </c>
      <c r="K496" s="15">
        <f t="shared" si="103"/>
        <v>12</v>
      </c>
      <c r="L496" s="15">
        <v>-4.3099999999999996</v>
      </c>
      <c r="M496" s="15">
        <v>5.54</v>
      </c>
      <c r="N496" s="36">
        <f t="shared" si="99"/>
        <v>0.77797833935018046</v>
      </c>
    </row>
    <row r="497" spans="1:14" x14ac:dyDescent="0.15">
      <c r="A497" s="29"/>
      <c r="B497" s="29"/>
      <c r="C497" s="29"/>
      <c r="D497" s="29"/>
      <c r="E497" s="29"/>
      <c r="F497" s="29"/>
      <c r="G497" s="29"/>
      <c r="H497" s="15">
        <v>24</v>
      </c>
      <c r="I497" s="15">
        <v>1</v>
      </c>
      <c r="J497" s="15">
        <f t="shared" si="102"/>
        <v>12</v>
      </c>
      <c r="K497" s="15">
        <f t="shared" si="103"/>
        <v>13</v>
      </c>
      <c r="L497" s="15">
        <v>-6.11</v>
      </c>
      <c r="M497" s="15">
        <v>5.67</v>
      </c>
      <c r="N497" s="36">
        <f t="shared" si="99"/>
        <v>1.0776014109347443</v>
      </c>
    </row>
    <row r="498" spans="1:14" x14ac:dyDescent="0.15">
      <c r="A498" s="29"/>
      <c r="B498" s="29"/>
      <c r="C498" s="29"/>
      <c r="D498" s="29"/>
      <c r="E498" s="29"/>
      <c r="F498" s="29"/>
      <c r="G498" s="29"/>
      <c r="H498" s="15">
        <v>24</v>
      </c>
      <c r="I498" s="15">
        <v>1</v>
      </c>
      <c r="J498" s="15">
        <f t="shared" si="102"/>
        <v>13</v>
      </c>
      <c r="K498" s="15">
        <f t="shared" si="103"/>
        <v>14</v>
      </c>
      <c r="L498" s="15">
        <v>-7.6</v>
      </c>
      <c r="M498" s="15">
        <v>5.49</v>
      </c>
      <c r="N498" s="36">
        <f t="shared" si="99"/>
        <v>1.384335154826958</v>
      </c>
    </row>
    <row r="499" spans="1:14" x14ac:dyDescent="0.15">
      <c r="A499" s="29"/>
      <c r="B499" s="29"/>
      <c r="C499" s="29"/>
      <c r="D499" s="29"/>
      <c r="E499" s="29"/>
      <c r="F499" s="29"/>
      <c r="G499" s="29"/>
      <c r="H499" s="15">
        <v>24</v>
      </c>
      <c r="I499" s="15">
        <v>1</v>
      </c>
      <c r="J499" s="15">
        <f t="shared" si="102"/>
        <v>14</v>
      </c>
      <c r="K499" s="15">
        <f t="shared" si="103"/>
        <v>15</v>
      </c>
      <c r="L499" s="15">
        <v>-11.33</v>
      </c>
      <c r="M499" s="15">
        <v>5.61</v>
      </c>
      <c r="N499" s="36">
        <f t="shared" si="99"/>
        <v>2.0196078431372548</v>
      </c>
    </row>
    <row r="500" spans="1:14" x14ac:dyDescent="0.15">
      <c r="A500" s="29"/>
      <c r="B500" s="29"/>
      <c r="C500" s="29"/>
      <c r="D500" s="29"/>
      <c r="E500" s="29"/>
      <c r="F500" s="29"/>
      <c r="G500" s="29"/>
      <c r="H500" s="15">
        <v>24</v>
      </c>
      <c r="I500" s="15">
        <v>1</v>
      </c>
      <c r="J500" s="15">
        <f t="shared" si="102"/>
        <v>15</v>
      </c>
      <c r="K500" s="15">
        <f t="shared" si="103"/>
        <v>16</v>
      </c>
      <c r="L500" s="36">
        <v>-4.5199999999999996</v>
      </c>
      <c r="M500" s="15">
        <v>5.6</v>
      </c>
      <c r="N500" s="36">
        <f t="shared" si="99"/>
        <v>0.80714285714285716</v>
      </c>
    </row>
    <row r="501" spans="1:14" x14ac:dyDescent="0.15">
      <c r="A501" s="29"/>
      <c r="B501" s="29"/>
      <c r="C501" s="29"/>
      <c r="D501" s="29"/>
      <c r="E501" s="29"/>
      <c r="F501" s="29"/>
      <c r="G501" s="29"/>
      <c r="H501" s="15">
        <v>24</v>
      </c>
      <c r="I501" s="15">
        <v>1</v>
      </c>
      <c r="J501" s="15">
        <f t="shared" si="102"/>
        <v>16</v>
      </c>
      <c r="K501" s="15">
        <f t="shared" si="103"/>
        <v>17</v>
      </c>
      <c r="L501" s="15">
        <v>-9.02</v>
      </c>
      <c r="M501" s="15">
        <v>5.44</v>
      </c>
      <c r="N501" s="36">
        <f t="shared" si="99"/>
        <v>1.6580882352941175</v>
      </c>
    </row>
    <row r="502" spans="1:14" x14ac:dyDescent="0.15">
      <c r="A502" s="29"/>
      <c r="B502" s="29"/>
      <c r="C502" s="29"/>
      <c r="D502" s="29"/>
      <c r="E502" s="29"/>
      <c r="F502" s="29"/>
      <c r="G502" s="29"/>
      <c r="H502" s="15">
        <v>24</v>
      </c>
      <c r="I502" s="15">
        <v>1</v>
      </c>
      <c r="J502" s="15">
        <f t="shared" si="102"/>
        <v>17</v>
      </c>
      <c r="K502" s="15">
        <f t="shared" si="103"/>
        <v>18</v>
      </c>
      <c r="L502" s="15">
        <v>-8.85</v>
      </c>
      <c r="M502" s="15">
        <v>5.47</v>
      </c>
      <c r="N502" s="36">
        <f t="shared" si="99"/>
        <v>1.6179159049360146</v>
      </c>
    </row>
    <row r="503" spans="1:14" x14ac:dyDescent="0.15">
      <c r="A503" s="29"/>
      <c r="B503" s="29"/>
      <c r="C503" s="29"/>
      <c r="D503" s="29"/>
      <c r="E503" s="29"/>
      <c r="F503" s="29"/>
      <c r="G503" s="29"/>
      <c r="H503" s="15">
        <v>24</v>
      </c>
      <c r="I503" s="15">
        <v>1</v>
      </c>
      <c r="J503" s="15">
        <f t="shared" si="102"/>
        <v>18</v>
      </c>
      <c r="K503" s="15">
        <f t="shared" si="103"/>
        <v>19</v>
      </c>
      <c r="L503" s="15">
        <v>-15.91</v>
      </c>
      <c r="M503" s="15">
        <v>5.54</v>
      </c>
      <c r="N503" s="36">
        <f t="shared" si="99"/>
        <v>2.871841155234657</v>
      </c>
    </row>
    <row r="504" spans="1:14" x14ac:dyDescent="0.15">
      <c r="A504" s="29"/>
      <c r="B504" s="29"/>
      <c r="C504" s="29"/>
      <c r="D504" s="29"/>
      <c r="E504" s="29"/>
      <c r="F504" s="29"/>
      <c r="G504" s="29"/>
      <c r="H504" s="15">
        <v>24</v>
      </c>
      <c r="I504" s="15">
        <v>1</v>
      </c>
      <c r="J504" s="15">
        <f t="shared" si="102"/>
        <v>19</v>
      </c>
      <c r="K504" s="15">
        <f t="shared" si="103"/>
        <v>20</v>
      </c>
      <c r="L504" s="15">
        <v>-23.17</v>
      </c>
      <c r="M504" s="15">
        <v>5.79</v>
      </c>
      <c r="N504" s="36">
        <f t="shared" si="99"/>
        <v>4.0017271157167533</v>
      </c>
    </row>
    <row r="505" spans="1:14" x14ac:dyDescent="0.15">
      <c r="A505" s="29"/>
      <c r="B505" s="29"/>
      <c r="C505" s="29"/>
      <c r="D505" s="29"/>
      <c r="E505" s="29"/>
      <c r="F505" s="29"/>
      <c r="G505" s="29"/>
      <c r="H505" s="15">
        <v>24</v>
      </c>
      <c r="I505" s="15">
        <v>1</v>
      </c>
      <c r="J505" s="15">
        <f t="shared" si="102"/>
        <v>20</v>
      </c>
      <c r="K505" s="15">
        <f t="shared" si="103"/>
        <v>21</v>
      </c>
      <c r="L505" s="15">
        <v>-43.79</v>
      </c>
      <c r="M505" s="15">
        <v>5.59</v>
      </c>
      <c r="N505" s="36">
        <f t="shared" si="99"/>
        <v>7.8336314847942754</v>
      </c>
    </row>
    <row r="506" spans="1:14" x14ac:dyDescent="0.15">
      <c r="A506" s="29"/>
      <c r="B506" s="29"/>
      <c r="C506" s="29"/>
      <c r="D506" s="29"/>
      <c r="E506" s="29"/>
      <c r="F506" s="29"/>
      <c r="G506" s="29"/>
      <c r="H506" s="15">
        <v>24</v>
      </c>
      <c r="I506" s="15">
        <v>1</v>
      </c>
      <c r="J506" s="15">
        <f t="shared" si="102"/>
        <v>21</v>
      </c>
      <c r="K506" s="15">
        <f t="shared" si="103"/>
        <v>22</v>
      </c>
      <c r="L506" s="15">
        <v>-97.33</v>
      </c>
      <c r="M506" s="15">
        <v>5.51</v>
      </c>
      <c r="N506" s="36">
        <f t="shared" si="99"/>
        <v>17.664246823956443</v>
      </c>
    </row>
    <row r="507" spans="1:14" x14ac:dyDescent="0.15">
      <c r="A507" s="29"/>
      <c r="B507" s="29"/>
      <c r="C507" s="29"/>
      <c r="D507" s="29"/>
      <c r="E507" s="29"/>
      <c r="F507" s="29"/>
      <c r="G507" s="29"/>
      <c r="H507" s="15">
        <v>24</v>
      </c>
      <c r="I507" s="15">
        <v>1</v>
      </c>
      <c r="J507" s="15">
        <f t="shared" si="102"/>
        <v>22</v>
      </c>
      <c r="K507" s="15">
        <f t="shared" si="103"/>
        <v>23</v>
      </c>
      <c r="L507" s="29">
        <v>-394.73</v>
      </c>
      <c r="M507" s="15">
        <v>5.74</v>
      </c>
      <c r="N507" s="36">
        <f t="shared" si="99"/>
        <v>68.768292682926827</v>
      </c>
    </row>
    <row r="508" spans="1:14" x14ac:dyDescent="0.1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</row>
    <row r="509" spans="1:14" x14ac:dyDescent="0.1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</row>
  </sheetData>
  <mergeCells count="3">
    <mergeCell ref="A2:F2"/>
    <mergeCell ref="H2:M2"/>
    <mergeCell ref="A1:N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7"/>
  <sheetViews>
    <sheetView topLeftCell="A482" workbookViewId="0">
      <selection activeCell="N4" sqref="N4:N507"/>
    </sheetView>
  </sheetViews>
  <sheetFormatPr defaultRowHeight="13.5" x14ac:dyDescent="0.15"/>
  <cols>
    <col min="1" max="4" width="5.625" style="22" customWidth="1"/>
    <col min="5" max="6" width="9" style="22"/>
    <col min="7" max="7" width="12.75" style="41" bestFit="1" customWidth="1"/>
    <col min="8" max="11" width="5.625" style="22" customWidth="1"/>
    <col min="12" max="12" width="11.375" style="22" bestFit="1" customWidth="1"/>
    <col min="13" max="13" width="9" style="22"/>
    <col min="14" max="14" width="13.875" style="41" bestFit="1" customWidth="1"/>
    <col min="15" max="17" width="5.625" customWidth="1"/>
  </cols>
  <sheetData>
    <row r="1" spans="1:19" x14ac:dyDescent="0.15">
      <c r="A1" s="56" t="s">
        <v>46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</row>
    <row r="2" spans="1:19" x14ac:dyDescent="0.15">
      <c r="A2" s="54" t="s">
        <v>20</v>
      </c>
      <c r="B2" s="54"/>
      <c r="C2" s="54"/>
      <c r="D2" s="54"/>
      <c r="E2" s="54"/>
      <c r="F2" s="54"/>
      <c r="G2" s="39"/>
      <c r="H2" s="55" t="s">
        <v>34</v>
      </c>
      <c r="I2" s="55"/>
      <c r="J2" s="55"/>
      <c r="K2" s="55"/>
      <c r="L2" s="55"/>
      <c r="M2" s="55"/>
      <c r="N2" s="40"/>
      <c r="O2" s="57" t="s">
        <v>35</v>
      </c>
      <c r="P2" s="57"/>
      <c r="Q2" s="57"/>
      <c r="R2" s="57"/>
      <c r="S2" s="57"/>
    </row>
    <row r="3" spans="1:19" x14ac:dyDescent="0.15">
      <c r="A3" s="23" t="s">
        <v>37</v>
      </c>
      <c r="B3" s="23" t="s">
        <v>38</v>
      </c>
      <c r="C3" s="23" t="s">
        <v>39</v>
      </c>
      <c r="D3" s="23" t="s">
        <v>40</v>
      </c>
      <c r="E3" s="23" t="s">
        <v>21</v>
      </c>
      <c r="F3" s="23" t="s">
        <v>22</v>
      </c>
      <c r="G3" s="23"/>
      <c r="H3" s="15" t="s">
        <v>37</v>
      </c>
      <c r="I3" s="15" t="s">
        <v>41</v>
      </c>
      <c r="J3" s="15" t="s">
        <v>42</v>
      </c>
      <c r="K3" s="15" t="s">
        <v>43</v>
      </c>
      <c r="L3" s="15" t="s">
        <v>21</v>
      </c>
      <c r="M3" s="15" t="s">
        <v>22</v>
      </c>
      <c r="N3" s="15"/>
      <c r="O3" s="15" t="s">
        <v>44</v>
      </c>
      <c r="P3" s="15" t="s">
        <v>45</v>
      </c>
      <c r="Q3" s="15" t="s">
        <v>41</v>
      </c>
      <c r="R3" s="15" t="s">
        <v>21</v>
      </c>
      <c r="S3" s="15" t="s">
        <v>22</v>
      </c>
    </row>
    <row r="4" spans="1:19" x14ac:dyDescent="0.15">
      <c r="A4" s="23">
        <v>1</v>
      </c>
      <c r="B4" s="17">
        <f>A4+1</f>
        <v>2</v>
      </c>
      <c r="C4" s="23">
        <f>B4+1</f>
        <v>3</v>
      </c>
      <c r="D4" s="23">
        <f>C4+1</f>
        <v>4</v>
      </c>
      <c r="E4" s="23">
        <v>1656.37</v>
      </c>
      <c r="F4" s="23">
        <v>7.35</v>
      </c>
      <c r="G4" s="23">
        <f>E4/F4</f>
        <v>225.35646258503402</v>
      </c>
      <c r="H4" s="15">
        <v>1</v>
      </c>
      <c r="I4" s="15">
        <v>2</v>
      </c>
      <c r="J4" s="22">
        <v>3</v>
      </c>
      <c r="K4" s="15">
        <v>4</v>
      </c>
      <c r="L4" s="15">
        <v>-589.78</v>
      </c>
      <c r="M4" s="15">
        <v>6.91</v>
      </c>
      <c r="N4" s="15">
        <f>-L4/M4</f>
        <v>85.351664254703323</v>
      </c>
      <c r="O4" s="15">
        <v>1</v>
      </c>
      <c r="P4" s="15">
        <v>2</v>
      </c>
      <c r="Q4" s="15">
        <v>3</v>
      </c>
      <c r="R4" s="15"/>
      <c r="S4" s="15"/>
    </row>
    <row r="5" spans="1:19" x14ac:dyDescent="0.15">
      <c r="A5" s="23">
        <v>1</v>
      </c>
      <c r="B5" s="17">
        <f t="shared" ref="B5:B10" si="0">B4+1</f>
        <v>3</v>
      </c>
      <c r="C5" s="23">
        <f t="shared" ref="C5:C10" si="1">C4+2</f>
        <v>5</v>
      </c>
      <c r="D5" s="23">
        <f t="shared" ref="D5:D10" si="2">D4+3</f>
        <v>7</v>
      </c>
      <c r="E5" s="23">
        <v>1064.22</v>
      </c>
      <c r="F5" s="23">
        <v>7.58</v>
      </c>
      <c r="G5" s="23">
        <f t="shared" ref="G5:G68" si="3">E5/F5</f>
        <v>140.39841688654354</v>
      </c>
      <c r="H5" s="15">
        <v>1</v>
      </c>
      <c r="I5" s="15">
        <v>2</v>
      </c>
      <c r="J5" s="22">
        <v>4</v>
      </c>
      <c r="K5" s="15">
        <v>5</v>
      </c>
      <c r="L5" s="15">
        <v>-140.59</v>
      </c>
      <c r="M5" s="15">
        <v>6.25</v>
      </c>
      <c r="N5" s="15">
        <f t="shared" ref="N5:N68" si="4">-L5/M5</f>
        <v>22.494399999999999</v>
      </c>
      <c r="O5" s="15">
        <v>1</v>
      </c>
      <c r="P5" s="15">
        <f>P4+1</f>
        <v>3</v>
      </c>
      <c r="Q5" s="15">
        <f>Q4+2</f>
        <v>5</v>
      </c>
      <c r="R5" s="15"/>
      <c r="S5" s="15"/>
    </row>
    <row r="6" spans="1:19" x14ac:dyDescent="0.15">
      <c r="A6" s="23">
        <v>1</v>
      </c>
      <c r="B6" s="17">
        <f t="shared" si="0"/>
        <v>4</v>
      </c>
      <c r="C6" s="23">
        <f t="shared" si="1"/>
        <v>7</v>
      </c>
      <c r="D6" s="23">
        <f t="shared" si="2"/>
        <v>10</v>
      </c>
      <c r="E6" s="23">
        <v>804.38</v>
      </c>
      <c r="F6" s="23">
        <v>8.42</v>
      </c>
      <c r="G6" s="23">
        <f t="shared" si="3"/>
        <v>95.532066508313534</v>
      </c>
      <c r="H6" s="15">
        <v>1</v>
      </c>
      <c r="I6" s="15">
        <v>2</v>
      </c>
      <c r="J6" s="22">
        <v>5</v>
      </c>
      <c r="K6" s="15">
        <v>6</v>
      </c>
      <c r="L6" s="15">
        <v>-66.150000000000006</v>
      </c>
      <c r="M6" s="15">
        <v>6.92</v>
      </c>
      <c r="N6" s="15">
        <f t="shared" si="4"/>
        <v>9.5592485549132959</v>
      </c>
      <c r="O6" s="15">
        <v>1</v>
      </c>
      <c r="P6" s="15">
        <f>P5+1</f>
        <v>4</v>
      </c>
      <c r="Q6" s="15">
        <f>Q5+2</f>
        <v>7</v>
      </c>
      <c r="R6" s="15"/>
      <c r="S6" s="15"/>
    </row>
    <row r="7" spans="1:19" x14ac:dyDescent="0.15">
      <c r="A7" s="23">
        <v>1</v>
      </c>
      <c r="B7" s="17">
        <f t="shared" si="0"/>
        <v>5</v>
      </c>
      <c r="C7" s="23">
        <f t="shared" si="1"/>
        <v>9</v>
      </c>
      <c r="D7" s="23">
        <f t="shared" si="2"/>
        <v>13</v>
      </c>
      <c r="E7" s="23">
        <v>827.55</v>
      </c>
      <c r="F7" s="23">
        <v>9.07</v>
      </c>
      <c r="G7" s="23">
        <f t="shared" si="3"/>
        <v>91.240352811466366</v>
      </c>
      <c r="H7" s="15">
        <v>1</v>
      </c>
      <c r="I7" s="15">
        <v>2</v>
      </c>
      <c r="J7" s="22">
        <v>6</v>
      </c>
      <c r="K7" s="15">
        <v>7</v>
      </c>
      <c r="L7" s="15">
        <v>-38.72</v>
      </c>
      <c r="M7" s="15">
        <v>6.88</v>
      </c>
      <c r="N7" s="15">
        <f t="shared" si="4"/>
        <v>5.6279069767441863</v>
      </c>
      <c r="O7" s="15">
        <v>1</v>
      </c>
      <c r="P7" s="15">
        <f>P6+1</f>
        <v>5</v>
      </c>
      <c r="Q7" s="15">
        <f>Q6+2</f>
        <v>9</v>
      </c>
      <c r="R7" s="15"/>
      <c r="S7" s="15"/>
    </row>
    <row r="8" spans="1:19" x14ac:dyDescent="0.15">
      <c r="A8" s="23">
        <v>1</v>
      </c>
      <c r="B8" s="17">
        <f t="shared" si="0"/>
        <v>6</v>
      </c>
      <c r="C8" s="23">
        <f t="shared" si="1"/>
        <v>11</v>
      </c>
      <c r="D8" s="23">
        <f t="shared" si="2"/>
        <v>16</v>
      </c>
      <c r="E8" s="23">
        <v>656.77</v>
      </c>
      <c r="F8" s="23">
        <v>8.98</v>
      </c>
      <c r="G8" s="23">
        <f t="shared" si="3"/>
        <v>73.136971046770597</v>
      </c>
      <c r="H8" s="15">
        <v>1</v>
      </c>
      <c r="I8" s="15">
        <v>2</v>
      </c>
      <c r="J8" s="22">
        <v>7</v>
      </c>
      <c r="K8" s="15">
        <v>8</v>
      </c>
      <c r="L8" s="15">
        <v>-28.31</v>
      </c>
      <c r="M8" s="15">
        <v>6.73</v>
      </c>
      <c r="N8" s="15">
        <f t="shared" si="4"/>
        <v>4.2065378900445758</v>
      </c>
      <c r="O8" s="15">
        <v>1</v>
      </c>
      <c r="P8" s="15">
        <f>P7+1</f>
        <v>6</v>
      </c>
      <c r="Q8" s="15">
        <f>Q7+2</f>
        <v>11</v>
      </c>
      <c r="R8" s="15"/>
      <c r="S8" s="15"/>
    </row>
    <row r="9" spans="1:19" x14ac:dyDescent="0.15">
      <c r="A9" s="23">
        <v>1</v>
      </c>
      <c r="B9" s="17">
        <f t="shared" si="0"/>
        <v>7</v>
      </c>
      <c r="C9" s="23">
        <f t="shared" si="1"/>
        <v>13</v>
      </c>
      <c r="D9" s="23">
        <f t="shared" si="2"/>
        <v>19</v>
      </c>
      <c r="E9" s="23">
        <v>448.23</v>
      </c>
      <c r="F9" s="23">
        <v>8.49</v>
      </c>
      <c r="G9" s="23">
        <f t="shared" si="3"/>
        <v>52.795053003533567</v>
      </c>
      <c r="H9" s="15">
        <v>1</v>
      </c>
      <c r="I9" s="15">
        <v>2</v>
      </c>
      <c r="J9" s="22">
        <v>8</v>
      </c>
      <c r="K9" s="15">
        <v>9</v>
      </c>
      <c r="L9" s="15">
        <v>-19.309999999999999</v>
      </c>
      <c r="M9" s="15">
        <v>6.77</v>
      </c>
      <c r="N9" s="15">
        <f t="shared" si="4"/>
        <v>2.8522895125553913</v>
      </c>
      <c r="O9" s="15">
        <v>1</v>
      </c>
      <c r="P9" s="15">
        <f>P8+1</f>
        <v>7</v>
      </c>
      <c r="Q9" s="15">
        <f>Q8+2</f>
        <v>13</v>
      </c>
      <c r="R9" s="15"/>
      <c r="S9" s="15"/>
    </row>
    <row r="10" spans="1:19" x14ac:dyDescent="0.15">
      <c r="A10" s="23">
        <v>1</v>
      </c>
      <c r="B10" s="17">
        <f t="shared" si="0"/>
        <v>8</v>
      </c>
      <c r="C10" s="23">
        <f t="shared" si="1"/>
        <v>15</v>
      </c>
      <c r="D10" s="23">
        <f t="shared" si="2"/>
        <v>22</v>
      </c>
      <c r="E10" s="23">
        <v>252.01</v>
      </c>
      <c r="F10" s="23">
        <v>8.8000000000000007</v>
      </c>
      <c r="G10" s="23">
        <f t="shared" si="3"/>
        <v>28.637499999999996</v>
      </c>
      <c r="H10" s="15">
        <v>1</v>
      </c>
      <c r="I10" s="15">
        <v>2</v>
      </c>
      <c r="J10" s="22">
        <v>9</v>
      </c>
      <c r="K10" s="15">
        <v>10</v>
      </c>
      <c r="L10" s="15">
        <v>-16.91</v>
      </c>
      <c r="M10" s="15">
        <v>7.21</v>
      </c>
      <c r="N10" s="15">
        <f t="shared" si="4"/>
        <v>2.3453536754507627</v>
      </c>
      <c r="O10" s="15">
        <v>2</v>
      </c>
      <c r="P10" s="15">
        <v>3</v>
      </c>
      <c r="Q10" s="15">
        <v>4</v>
      </c>
      <c r="R10" s="15"/>
      <c r="S10" s="15"/>
    </row>
    <row r="11" spans="1:19" x14ac:dyDescent="0.15">
      <c r="A11" s="23">
        <v>2</v>
      </c>
      <c r="B11" s="17">
        <f>A11+1</f>
        <v>3</v>
      </c>
      <c r="C11" s="23">
        <f>B11+1</f>
        <v>4</v>
      </c>
      <c r="D11" s="23">
        <f>C11+1</f>
        <v>5</v>
      </c>
      <c r="E11" s="23">
        <v>1708.98</v>
      </c>
      <c r="F11" s="23">
        <v>8.1</v>
      </c>
      <c r="G11" s="23">
        <f t="shared" si="3"/>
        <v>210.9851851851852</v>
      </c>
      <c r="H11" s="15">
        <v>1</v>
      </c>
      <c r="I11" s="15">
        <v>2</v>
      </c>
      <c r="J11" s="22">
        <v>10</v>
      </c>
      <c r="K11" s="15">
        <v>11</v>
      </c>
      <c r="L11" s="15">
        <v>-15.99</v>
      </c>
      <c r="M11" s="15">
        <v>6.86</v>
      </c>
      <c r="N11" s="15">
        <f t="shared" si="4"/>
        <v>2.3309037900874636</v>
      </c>
      <c r="O11" s="15">
        <v>2</v>
      </c>
      <c r="P11" s="15">
        <f>P10+1</f>
        <v>4</v>
      </c>
      <c r="Q11" s="15">
        <f>Q10+2</f>
        <v>6</v>
      </c>
      <c r="R11" s="15"/>
      <c r="S11" s="15"/>
    </row>
    <row r="12" spans="1:19" x14ac:dyDescent="0.15">
      <c r="A12" s="23">
        <v>2</v>
      </c>
      <c r="B12" s="17">
        <f t="shared" ref="B12:B17" si="5">B11+1</f>
        <v>4</v>
      </c>
      <c r="C12" s="23">
        <f t="shared" ref="C12:C17" si="6">C11+2</f>
        <v>6</v>
      </c>
      <c r="D12" s="23">
        <f t="shared" ref="D12:D17" si="7">D11+3</f>
        <v>8</v>
      </c>
      <c r="E12" s="23">
        <v>980.93</v>
      </c>
      <c r="F12" s="23">
        <v>6.99</v>
      </c>
      <c r="G12" s="23">
        <f t="shared" si="3"/>
        <v>140.33333333333331</v>
      </c>
      <c r="H12" s="15">
        <v>1</v>
      </c>
      <c r="I12" s="15">
        <v>2</v>
      </c>
      <c r="J12" s="22">
        <v>11</v>
      </c>
      <c r="K12" s="15">
        <v>12</v>
      </c>
      <c r="L12" s="15">
        <v>-15.17</v>
      </c>
      <c r="M12" s="15">
        <v>6.52</v>
      </c>
      <c r="N12" s="15">
        <f t="shared" si="4"/>
        <v>2.3266871165644174</v>
      </c>
      <c r="O12" s="15">
        <v>2</v>
      </c>
      <c r="P12" s="15">
        <f>P11+1</f>
        <v>5</v>
      </c>
      <c r="Q12" s="15">
        <f>Q11+2</f>
        <v>8</v>
      </c>
      <c r="R12" s="15"/>
      <c r="S12" s="15"/>
    </row>
    <row r="13" spans="1:19" x14ac:dyDescent="0.15">
      <c r="A13" s="23">
        <v>2</v>
      </c>
      <c r="B13" s="17">
        <f t="shared" si="5"/>
        <v>5</v>
      </c>
      <c r="C13" s="23">
        <f t="shared" si="6"/>
        <v>8</v>
      </c>
      <c r="D13" s="23">
        <f t="shared" si="7"/>
        <v>11</v>
      </c>
      <c r="E13" s="23">
        <v>849.2</v>
      </c>
      <c r="F13" s="23">
        <v>8.7200000000000006</v>
      </c>
      <c r="G13" s="23">
        <f t="shared" si="3"/>
        <v>97.385321100917423</v>
      </c>
      <c r="H13" s="15">
        <v>1</v>
      </c>
      <c r="I13" s="15">
        <v>2</v>
      </c>
      <c r="J13" s="22">
        <v>12</v>
      </c>
      <c r="K13" s="15">
        <v>13</v>
      </c>
      <c r="L13" s="15">
        <v>-10.07</v>
      </c>
      <c r="M13" s="15">
        <v>6.79</v>
      </c>
      <c r="N13" s="15">
        <f t="shared" si="4"/>
        <v>1.4830633284241532</v>
      </c>
      <c r="O13" s="15">
        <v>2</v>
      </c>
      <c r="P13" s="15">
        <f>P12+1</f>
        <v>6</v>
      </c>
      <c r="Q13" s="15">
        <f>Q12+2</f>
        <v>10</v>
      </c>
      <c r="R13" s="15"/>
      <c r="S13" s="15"/>
    </row>
    <row r="14" spans="1:19" x14ac:dyDescent="0.15">
      <c r="A14" s="23">
        <v>2</v>
      </c>
      <c r="B14" s="17">
        <f t="shared" si="5"/>
        <v>6</v>
      </c>
      <c r="C14" s="23">
        <f t="shared" si="6"/>
        <v>10</v>
      </c>
      <c r="D14" s="23">
        <f t="shared" si="7"/>
        <v>14</v>
      </c>
      <c r="E14" s="23">
        <v>496.85</v>
      </c>
      <c r="F14" s="23">
        <v>6.71</v>
      </c>
      <c r="G14" s="23">
        <f t="shared" si="3"/>
        <v>74.046199701937411</v>
      </c>
      <c r="H14" s="15">
        <v>1</v>
      </c>
      <c r="I14" s="15">
        <v>2</v>
      </c>
      <c r="J14" s="22">
        <v>13</v>
      </c>
      <c r="K14" s="15">
        <v>14</v>
      </c>
      <c r="L14" s="15">
        <v>-9.07</v>
      </c>
      <c r="M14" s="15">
        <v>6.48</v>
      </c>
      <c r="N14" s="15">
        <f t="shared" si="4"/>
        <v>1.3996913580246912</v>
      </c>
      <c r="O14" s="15">
        <v>2</v>
      </c>
      <c r="P14" s="15">
        <f>P13+1</f>
        <v>7</v>
      </c>
      <c r="Q14" s="15">
        <f>Q13+2</f>
        <v>12</v>
      </c>
      <c r="R14" s="15"/>
      <c r="S14" s="15"/>
    </row>
    <row r="15" spans="1:19" x14ac:dyDescent="0.15">
      <c r="A15" s="23">
        <v>2</v>
      </c>
      <c r="B15" s="17">
        <f t="shared" si="5"/>
        <v>7</v>
      </c>
      <c r="C15" s="23">
        <f t="shared" si="6"/>
        <v>12</v>
      </c>
      <c r="D15" s="23">
        <f t="shared" si="7"/>
        <v>17</v>
      </c>
      <c r="E15" s="23">
        <v>563.83000000000004</v>
      </c>
      <c r="F15" s="23">
        <v>7.68</v>
      </c>
      <c r="G15" s="23">
        <f t="shared" si="3"/>
        <v>73.415364583333343</v>
      </c>
      <c r="H15" s="15">
        <v>1</v>
      </c>
      <c r="I15" s="15">
        <v>2</v>
      </c>
      <c r="J15" s="22">
        <v>14</v>
      </c>
      <c r="K15" s="15">
        <v>15</v>
      </c>
      <c r="L15" s="15">
        <v>-9.11</v>
      </c>
      <c r="M15" s="15">
        <v>6.79</v>
      </c>
      <c r="N15" s="15">
        <f t="shared" si="4"/>
        <v>1.3416789396170838</v>
      </c>
      <c r="O15" s="15">
        <v>2</v>
      </c>
      <c r="P15" s="15">
        <f>P14+1</f>
        <v>8</v>
      </c>
      <c r="Q15" s="15">
        <f>Q14+2</f>
        <v>14</v>
      </c>
      <c r="R15" s="15"/>
      <c r="S15" s="22"/>
    </row>
    <row r="16" spans="1:19" x14ac:dyDescent="0.15">
      <c r="A16" s="23">
        <v>2</v>
      </c>
      <c r="B16" s="17">
        <f t="shared" si="5"/>
        <v>8</v>
      </c>
      <c r="C16" s="23">
        <f t="shared" si="6"/>
        <v>14</v>
      </c>
      <c r="D16" s="23">
        <f t="shared" si="7"/>
        <v>20</v>
      </c>
      <c r="E16" s="23">
        <v>384.8</v>
      </c>
      <c r="F16" s="23">
        <v>7.49</v>
      </c>
      <c r="G16" s="23">
        <f t="shared" si="3"/>
        <v>51.375166889185579</v>
      </c>
      <c r="H16" s="15">
        <v>1</v>
      </c>
      <c r="I16" s="15">
        <v>2</v>
      </c>
      <c r="J16" s="22">
        <v>15</v>
      </c>
      <c r="K16" s="15">
        <v>16</v>
      </c>
      <c r="L16" s="15">
        <v>-11.28</v>
      </c>
      <c r="M16" s="15">
        <v>6.9</v>
      </c>
      <c r="N16" s="15">
        <f t="shared" si="4"/>
        <v>1.6347826086956521</v>
      </c>
      <c r="O16" s="15">
        <v>3</v>
      </c>
      <c r="P16" s="15">
        <v>4</v>
      </c>
      <c r="Q16" s="15">
        <v>5</v>
      </c>
      <c r="R16" s="15"/>
      <c r="S16" s="22"/>
    </row>
    <row r="17" spans="1:19" x14ac:dyDescent="0.15">
      <c r="A17" s="23">
        <v>2</v>
      </c>
      <c r="B17" s="17">
        <f t="shared" si="5"/>
        <v>9</v>
      </c>
      <c r="C17" s="23">
        <f t="shared" si="6"/>
        <v>16</v>
      </c>
      <c r="D17" s="23">
        <f t="shared" si="7"/>
        <v>23</v>
      </c>
      <c r="E17" s="23">
        <v>259</v>
      </c>
      <c r="F17" s="23">
        <v>8.7200000000000006</v>
      </c>
      <c r="G17" s="23">
        <f t="shared" si="3"/>
        <v>29.701834862385319</v>
      </c>
      <c r="H17" s="15">
        <v>1</v>
      </c>
      <c r="I17" s="15">
        <v>2</v>
      </c>
      <c r="J17" s="22">
        <v>16</v>
      </c>
      <c r="K17" s="15">
        <v>17</v>
      </c>
      <c r="L17" s="15">
        <v>-13.72</v>
      </c>
      <c r="M17" s="15">
        <v>6.93</v>
      </c>
      <c r="N17" s="15">
        <f t="shared" si="4"/>
        <v>1.9797979797979799</v>
      </c>
      <c r="O17" s="15">
        <v>3</v>
      </c>
      <c r="P17" s="15">
        <f>P16+1</f>
        <v>5</v>
      </c>
      <c r="Q17" s="15">
        <f>Q16+2</f>
        <v>7</v>
      </c>
      <c r="R17" s="15"/>
      <c r="S17" s="22"/>
    </row>
    <row r="18" spans="1:19" x14ac:dyDescent="0.15">
      <c r="A18" s="23">
        <v>3</v>
      </c>
      <c r="B18" s="17">
        <f>A18+1</f>
        <v>4</v>
      </c>
      <c r="C18" s="23">
        <f>B18+1</f>
        <v>5</v>
      </c>
      <c r="D18" s="23">
        <f>C18+1</f>
        <v>6</v>
      </c>
      <c r="E18" s="23">
        <v>1977.34</v>
      </c>
      <c r="F18" s="23">
        <v>8.67</v>
      </c>
      <c r="G18" s="23">
        <f t="shared" si="3"/>
        <v>228.06689734717415</v>
      </c>
      <c r="H18" s="15">
        <v>1</v>
      </c>
      <c r="I18" s="15">
        <v>2</v>
      </c>
      <c r="J18" s="22">
        <v>17</v>
      </c>
      <c r="K18" s="15">
        <v>18</v>
      </c>
      <c r="L18" s="15">
        <v>-13.21</v>
      </c>
      <c r="M18" s="15">
        <v>6.68</v>
      </c>
      <c r="N18" s="15">
        <f t="shared" si="4"/>
        <v>1.977544910179641</v>
      </c>
      <c r="O18" s="15">
        <v>3</v>
      </c>
      <c r="P18" s="15">
        <f>P17+1</f>
        <v>6</v>
      </c>
      <c r="Q18" s="15">
        <f>Q17+2</f>
        <v>9</v>
      </c>
      <c r="R18" s="15"/>
      <c r="S18" s="15"/>
    </row>
    <row r="19" spans="1:19" x14ac:dyDescent="0.15">
      <c r="A19" s="23">
        <v>3</v>
      </c>
      <c r="B19" s="17">
        <f t="shared" ref="B19:B24" si="8">B18+1</f>
        <v>5</v>
      </c>
      <c r="C19" s="23">
        <f t="shared" ref="C19:C24" si="9">C18+2</f>
        <v>7</v>
      </c>
      <c r="D19" s="23">
        <f t="shared" ref="D19:D24" si="10">D18+3</f>
        <v>9</v>
      </c>
      <c r="E19" s="23">
        <v>927.13</v>
      </c>
      <c r="F19" s="23">
        <v>7.55</v>
      </c>
      <c r="G19" s="23">
        <f t="shared" si="3"/>
        <v>122.79867549668874</v>
      </c>
      <c r="H19" s="15">
        <v>1</v>
      </c>
      <c r="I19" s="15">
        <v>2</v>
      </c>
      <c r="J19" s="22">
        <v>18</v>
      </c>
      <c r="K19" s="15">
        <v>19</v>
      </c>
      <c r="L19" s="15">
        <v>-17.21</v>
      </c>
      <c r="M19" s="15">
        <v>7.99</v>
      </c>
      <c r="N19" s="15">
        <f t="shared" si="4"/>
        <v>2.1539424280350437</v>
      </c>
      <c r="O19" s="15">
        <v>3</v>
      </c>
      <c r="P19" s="15">
        <f>P18+1</f>
        <v>7</v>
      </c>
      <c r="Q19" s="15">
        <v>11</v>
      </c>
      <c r="R19" s="15"/>
      <c r="S19" s="15"/>
    </row>
    <row r="20" spans="1:19" x14ac:dyDescent="0.15">
      <c r="A20" s="23">
        <v>3</v>
      </c>
      <c r="B20" s="17">
        <f t="shared" si="8"/>
        <v>6</v>
      </c>
      <c r="C20" s="23">
        <f t="shared" si="9"/>
        <v>9</v>
      </c>
      <c r="D20" s="23">
        <f t="shared" si="10"/>
        <v>12</v>
      </c>
      <c r="E20" s="23">
        <v>796.46</v>
      </c>
      <c r="F20" s="23">
        <v>7.26</v>
      </c>
      <c r="G20" s="23">
        <f t="shared" si="3"/>
        <v>109.70523415977962</v>
      </c>
      <c r="H20" s="15">
        <v>1</v>
      </c>
      <c r="I20" s="15">
        <v>2</v>
      </c>
      <c r="J20" s="22">
        <v>19</v>
      </c>
      <c r="K20" s="15">
        <v>20</v>
      </c>
      <c r="L20" s="15">
        <v>-24.04</v>
      </c>
      <c r="M20" s="15">
        <v>8.16</v>
      </c>
      <c r="N20" s="15">
        <f t="shared" si="4"/>
        <v>2.9460784313725488</v>
      </c>
      <c r="O20" s="15">
        <v>3</v>
      </c>
      <c r="P20" s="15">
        <f>P19+1</f>
        <v>8</v>
      </c>
      <c r="Q20" s="15">
        <f>Q19+2</f>
        <v>13</v>
      </c>
      <c r="R20" s="15"/>
      <c r="S20" s="15"/>
    </row>
    <row r="21" spans="1:19" x14ac:dyDescent="0.15">
      <c r="A21" s="23">
        <v>3</v>
      </c>
      <c r="B21" s="17">
        <f t="shared" si="8"/>
        <v>7</v>
      </c>
      <c r="C21" s="23">
        <f t="shared" si="9"/>
        <v>11</v>
      </c>
      <c r="D21" s="23">
        <f t="shared" si="10"/>
        <v>15</v>
      </c>
      <c r="E21" s="23">
        <v>753.18</v>
      </c>
      <c r="F21" s="23">
        <v>8.39</v>
      </c>
      <c r="G21" s="23">
        <f t="shared" si="3"/>
        <v>89.771156138259826</v>
      </c>
      <c r="H21" s="15">
        <v>1</v>
      </c>
      <c r="I21" s="15">
        <v>2</v>
      </c>
      <c r="J21" s="22">
        <v>20</v>
      </c>
      <c r="K21" s="15">
        <v>21</v>
      </c>
      <c r="L21" s="15">
        <v>-36.909999999999997</v>
      </c>
      <c r="M21" s="15">
        <v>8.3000000000000007</v>
      </c>
      <c r="N21" s="15">
        <f t="shared" si="4"/>
        <v>4.4469879518072277</v>
      </c>
      <c r="O21" s="15">
        <v>3</v>
      </c>
      <c r="P21" s="15">
        <f>P20+1</f>
        <v>9</v>
      </c>
      <c r="Q21" s="15">
        <f>Q20+2</f>
        <v>15</v>
      </c>
      <c r="R21" s="15"/>
      <c r="S21" s="15"/>
    </row>
    <row r="22" spans="1:19" x14ac:dyDescent="0.15">
      <c r="A22" s="23">
        <v>3</v>
      </c>
      <c r="B22" s="17">
        <f t="shared" si="8"/>
        <v>8</v>
      </c>
      <c r="C22" s="23">
        <f t="shared" si="9"/>
        <v>13</v>
      </c>
      <c r="D22" s="23">
        <f t="shared" si="10"/>
        <v>18</v>
      </c>
      <c r="E22" s="23">
        <v>468.46</v>
      </c>
      <c r="F22" s="23">
        <v>6.54</v>
      </c>
      <c r="G22" s="23">
        <f t="shared" si="3"/>
        <v>71.629969418960243</v>
      </c>
      <c r="H22" s="15">
        <v>1</v>
      </c>
      <c r="I22" s="15">
        <v>2</v>
      </c>
      <c r="J22" s="22">
        <v>21</v>
      </c>
      <c r="K22" s="15">
        <v>22</v>
      </c>
      <c r="L22" s="15">
        <v>-70.680000000000007</v>
      </c>
      <c r="M22" s="15">
        <v>8.31</v>
      </c>
      <c r="N22" s="15">
        <f t="shared" si="4"/>
        <v>8.5054151624548737</v>
      </c>
      <c r="O22" s="15">
        <v>4</v>
      </c>
      <c r="P22" s="15">
        <v>5</v>
      </c>
      <c r="Q22" s="15">
        <v>6</v>
      </c>
      <c r="R22" s="15"/>
      <c r="S22" s="15"/>
    </row>
    <row r="23" spans="1:19" x14ac:dyDescent="0.15">
      <c r="A23" s="23">
        <v>3</v>
      </c>
      <c r="B23" s="17">
        <f t="shared" si="8"/>
        <v>9</v>
      </c>
      <c r="C23" s="23">
        <f t="shared" si="9"/>
        <v>15</v>
      </c>
      <c r="D23" s="23">
        <f t="shared" si="10"/>
        <v>21</v>
      </c>
      <c r="E23" s="23">
        <v>345.66</v>
      </c>
      <c r="F23" s="23">
        <v>6.63</v>
      </c>
      <c r="G23" s="23">
        <f t="shared" si="3"/>
        <v>52.135746606334848</v>
      </c>
      <c r="H23" s="15">
        <v>1</v>
      </c>
      <c r="I23" s="15">
        <v>2</v>
      </c>
      <c r="J23" s="22">
        <v>22</v>
      </c>
      <c r="K23" s="15">
        <v>23</v>
      </c>
      <c r="L23" s="15">
        <v>-179.53</v>
      </c>
      <c r="M23" s="15">
        <v>8.3699999999999992</v>
      </c>
      <c r="N23" s="15">
        <f t="shared" si="4"/>
        <v>21.449223416965353</v>
      </c>
      <c r="O23" s="15">
        <v>4</v>
      </c>
      <c r="P23" s="15">
        <f>P22+1</f>
        <v>6</v>
      </c>
      <c r="Q23" s="15">
        <f>Q22+2</f>
        <v>8</v>
      </c>
      <c r="R23" s="15"/>
      <c r="S23" s="15"/>
    </row>
    <row r="24" spans="1:19" x14ac:dyDescent="0.15">
      <c r="A24" s="23">
        <v>3</v>
      </c>
      <c r="B24" s="17">
        <f t="shared" si="8"/>
        <v>10</v>
      </c>
      <c r="C24" s="23">
        <f t="shared" si="9"/>
        <v>17</v>
      </c>
      <c r="D24" s="23">
        <f t="shared" si="10"/>
        <v>24</v>
      </c>
      <c r="E24" s="23">
        <v>201.49</v>
      </c>
      <c r="F24" s="23">
        <v>7.16</v>
      </c>
      <c r="G24" s="23">
        <f t="shared" si="3"/>
        <v>28.141061452513966</v>
      </c>
      <c r="H24" s="15">
        <v>1</v>
      </c>
      <c r="I24" s="15">
        <v>2</v>
      </c>
      <c r="J24" s="22">
        <v>23</v>
      </c>
      <c r="K24" s="15">
        <v>24</v>
      </c>
      <c r="L24" s="15">
        <v>-682.94</v>
      </c>
      <c r="M24" s="22">
        <v>8.6</v>
      </c>
      <c r="N24" s="15">
        <f t="shared" si="4"/>
        <v>79.411627906976747</v>
      </c>
      <c r="O24" s="15">
        <v>4</v>
      </c>
      <c r="P24" s="15">
        <f t="shared" ref="P24:P87" si="11">P23+1</f>
        <v>7</v>
      </c>
      <c r="Q24" s="15">
        <f t="shared" ref="Q24:Q33" si="12">Q23+2</f>
        <v>10</v>
      </c>
      <c r="R24" s="15"/>
      <c r="S24" s="15"/>
    </row>
    <row r="25" spans="1:19" x14ac:dyDescent="0.15">
      <c r="A25" s="23">
        <v>4</v>
      </c>
      <c r="B25" s="17">
        <f>A25+1</f>
        <v>5</v>
      </c>
      <c r="C25" s="23">
        <f>B25+1</f>
        <v>6</v>
      </c>
      <c r="D25" s="23">
        <f>C25+1</f>
        <v>7</v>
      </c>
      <c r="E25" s="23">
        <v>1515.25</v>
      </c>
      <c r="F25" s="23">
        <v>7.36</v>
      </c>
      <c r="G25" s="23">
        <f t="shared" si="3"/>
        <v>205.87635869565216</v>
      </c>
      <c r="H25" s="15">
        <v>2</v>
      </c>
      <c r="I25" s="15">
        <v>3</v>
      </c>
      <c r="J25" s="22">
        <v>4</v>
      </c>
      <c r="K25" s="15">
        <v>5</v>
      </c>
      <c r="L25" s="15">
        <v>-472.4</v>
      </c>
      <c r="M25" s="15">
        <v>5.93</v>
      </c>
      <c r="N25" s="15">
        <f t="shared" si="4"/>
        <v>79.662731871838105</v>
      </c>
      <c r="O25" s="15">
        <v>4</v>
      </c>
      <c r="P25" s="15">
        <f t="shared" si="11"/>
        <v>8</v>
      </c>
      <c r="Q25" s="15">
        <f t="shared" si="12"/>
        <v>12</v>
      </c>
      <c r="R25" s="15"/>
      <c r="S25" s="15"/>
    </row>
    <row r="26" spans="1:19" x14ac:dyDescent="0.15">
      <c r="A26" s="23">
        <v>4</v>
      </c>
      <c r="B26" s="17">
        <f t="shared" ref="B26:B31" si="13">B25+1</f>
        <v>6</v>
      </c>
      <c r="C26" s="23">
        <f t="shared" ref="C26:C31" si="14">C25+2</f>
        <v>8</v>
      </c>
      <c r="D26" s="23">
        <f>D25+3</f>
        <v>10</v>
      </c>
      <c r="E26" s="23">
        <v>897.44</v>
      </c>
      <c r="F26" s="23">
        <v>7.13</v>
      </c>
      <c r="G26" s="23">
        <f t="shared" si="3"/>
        <v>125.86816269284714</v>
      </c>
      <c r="H26" s="15">
        <v>2</v>
      </c>
      <c r="I26" s="15">
        <v>3</v>
      </c>
      <c r="J26" s="22">
        <v>5</v>
      </c>
      <c r="K26" s="15">
        <v>6</v>
      </c>
      <c r="L26" s="15">
        <v>-119.67</v>
      </c>
      <c r="M26" s="15">
        <v>5.97</v>
      </c>
      <c r="N26" s="15">
        <f t="shared" si="4"/>
        <v>20.045226130653269</v>
      </c>
      <c r="O26" s="15">
        <v>4</v>
      </c>
      <c r="P26" s="15">
        <f t="shared" si="11"/>
        <v>9</v>
      </c>
      <c r="Q26" s="15">
        <f t="shared" si="12"/>
        <v>14</v>
      </c>
      <c r="R26" s="15"/>
      <c r="S26" s="15"/>
    </row>
    <row r="27" spans="1:19" x14ac:dyDescent="0.15">
      <c r="A27" s="23">
        <v>4</v>
      </c>
      <c r="B27" s="17">
        <f t="shared" si="13"/>
        <v>7</v>
      </c>
      <c r="C27" s="23">
        <f t="shared" si="14"/>
        <v>10</v>
      </c>
      <c r="D27" s="23">
        <f>D26+3</f>
        <v>13</v>
      </c>
      <c r="E27" s="23">
        <v>776.03</v>
      </c>
      <c r="F27" s="23">
        <v>7.83</v>
      </c>
      <c r="G27" s="23">
        <f t="shared" si="3"/>
        <v>99.10983397190293</v>
      </c>
      <c r="H27" s="15">
        <v>2</v>
      </c>
      <c r="I27" s="15">
        <v>3</v>
      </c>
      <c r="J27" s="22">
        <v>6</v>
      </c>
      <c r="K27" s="15">
        <v>7</v>
      </c>
      <c r="L27" s="15">
        <v>-56.98</v>
      </c>
      <c r="M27" s="15">
        <v>6.14</v>
      </c>
      <c r="N27" s="15">
        <f t="shared" si="4"/>
        <v>9.2801302931596084</v>
      </c>
      <c r="O27" s="15">
        <v>4</v>
      </c>
      <c r="P27" s="15">
        <f t="shared" si="11"/>
        <v>10</v>
      </c>
      <c r="Q27" s="15">
        <f t="shared" si="12"/>
        <v>16</v>
      </c>
      <c r="R27" s="15"/>
      <c r="S27" s="15"/>
    </row>
    <row r="28" spans="1:19" x14ac:dyDescent="0.15">
      <c r="A28" s="23">
        <v>4</v>
      </c>
      <c r="B28" s="17">
        <f t="shared" si="13"/>
        <v>8</v>
      </c>
      <c r="C28" s="23">
        <f t="shared" si="14"/>
        <v>12</v>
      </c>
      <c r="D28" s="23">
        <f>D27+3</f>
        <v>16</v>
      </c>
      <c r="E28" s="23">
        <v>611.54999999999995</v>
      </c>
      <c r="F28" s="23">
        <v>6.87</v>
      </c>
      <c r="G28" s="23">
        <f t="shared" si="3"/>
        <v>89.017467248908289</v>
      </c>
      <c r="H28" s="15">
        <v>2</v>
      </c>
      <c r="I28" s="15">
        <v>3</v>
      </c>
      <c r="J28" s="22">
        <v>7</v>
      </c>
      <c r="K28" s="15">
        <v>8</v>
      </c>
      <c r="L28" s="15">
        <v>-34.67</v>
      </c>
      <c r="M28" s="15">
        <v>6.18</v>
      </c>
      <c r="N28" s="15">
        <f t="shared" si="4"/>
        <v>5.6100323624595472</v>
      </c>
      <c r="O28" s="15">
        <v>5</v>
      </c>
      <c r="P28" s="15">
        <v>6</v>
      </c>
      <c r="Q28" s="15">
        <v>7</v>
      </c>
      <c r="R28" s="15"/>
      <c r="S28" s="15"/>
    </row>
    <row r="29" spans="1:19" x14ac:dyDescent="0.15">
      <c r="A29" s="23">
        <v>4</v>
      </c>
      <c r="B29" s="17">
        <f t="shared" si="13"/>
        <v>9</v>
      </c>
      <c r="C29" s="23">
        <f t="shared" si="14"/>
        <v>14</v>
      </c>
      <c r="D29" s="23">
        <f>D28+3</f>
        <v>19</v>
      </c>
      <c r="E29" s="23">
        <v>463.65</v>
      </c>
      <c r="F29" s="23">
        <v>6.83</v>
      </c>
      <c r="G29" s="23">
        <f t="shared" si="3"/>
        <v>67.884333821376273</v>
      </c>
      <c r="H29" s="15">
        <v>2</v>
      </c>
      <c r="I29" s="15">
        <v>3</v>
      </c>
      <c r="J29" s="22">
        <v>8</v>
      </c>
      <c r="K29" s="15">
        <v>9</v>
      </c>
      <c r="L29" s="15">
        <v>-22.53</v>
      </c>
      <c r="M29" s="15">
        <v>6.25</v>
      </c>
      <c r="N29" s="15">
        <f t="shared" si="4"/>
        <v>3.6048</v>
      </c>
      <c r="O29" s="15">
        <v>5</v>
      </c>
      <c r="P29" s="15">
        <f>P28+1</f>
        <v>7</v>
      </c>
      <c r="Q29" s="15">
        <f t="shared" si="12"/>
        <v>9</v>
      </c>
      <c r="R29" s="15"/>
      <c r="S29" s="15"/>
    </row>
    <row r="30" spans="1:19" x14ac:dyDescent="0.15">
      <c r="A30" s="23">
        <v>4</v>
      </c>
      <c r="B30" s="17">
        <f t="shared" si="13"/>
        <v>10</v>
      </c>
      <c r="C30" s="23">
        <f t="shared" si="14"/>
        <v>16</v>
      </c>
      <c r="D30" s="23">
        <f>D29+3</f>
        <v>22</v>
      </c>
      <c r="E30" s="23">
        <v>370.31</v>
      </c>
      <c r="F30" s="23">
        <v>7.5</v>
      </c>
      <c r="G30" s="23">
        <f t="shared" si="3"/>
        <v>49.37466666666667</v>
      </c>
      <c r="H30" s="15">
        <v>2</v>
      </c>
      <c r="I30" s="15">
        <v>3</v>
      </c>
      <c r="J30" s="22">
        <v>9</v>
      </c>
      <c r="K30" s="15">
        <v>10</v>
      </c>
      <c r="L30" s="15">
        <v>-17.62</v>
      </c>
      <c r="M30" s="15">
        <v>6.3</v>
      </c>
      <c r="N30" s="15">
        <f t="shared" si="4"/>
        <v>2.7968253968253971</v>
      </c>
      <c r="O30" s="15">
        <v>5</v>
      </c>
      <c r="P30" s="15">
        <f t="shared" si="11"/>
        <v>8</v>
      </c>
      <c r="Q30" s="15">
        <f t="shared" si="12"/>
        <v>11</v>
      </c>
      <c r="R30" s="15"/>
      <c r="S30" s="15"/>
    </row>
    <row r="31" spans="1:19" x14ac:dyDescent="0.15">
      <c r="A31" s="23">
        <v>4</v>
      </c>
      <c r="B31" s="17">
        <f t="shared" si="13"/>
        <v>11</v>
      </c>
      <c r="C31" s="23">
        <f t="shared" si="14"/>
        <v>18</v>
      </c>
      <c r="D31" s="23">
        <v>1</v>
      </c>
      <c r="E31" s="23">
        <v>226.61</v>
      </c>
      <c r="F31" s="23">
        <v>7.45</v>
      </c>
      <c r="G31" s="23">
        <f t="shared" si="3"/>
        <v>30.41744966442953</v>
      </c>
      <c r="H31" s="15">
        <v>2</v>
      </c>
      <c r="I31" s="15">
        <v>3</v>
      </c>
      <c r="J31" s="22">
        <v>10</v>
      </c>
      <c r="K31" s="15">
        <v>11</v>
      </c>
      <c r="L31" s="15">
        <v>-12.86</v>
      </c>
      <c r="M31" s="15">
        <v>6.26</v>
      </c>
      <c r="N31" s="15">
        <f t="shared" si="4"/>
        <v>2.0543130990415337</v>
      </c>
      <c r="O31" s="15">
        <v>5</v>
      </c>
      <c r="P31" s="15">
        <f t="shared" si="11"/>
        <v>9</v>
      </c>
      <c r="Q31" s="15">
        <f t="shared" si="12"/>
        <v>13</v>
      </c>
      <c r="R31" s="15"/>
      <c r="S31" s="15"/>
    </row>
    <row r="32" spans="1:19" x14ac:dyDescent="0.15">
      <c r="A32" s="23">
        <v>5</v>
      </c>
      <c r="B32" s="17">
        <f>A32+1</f>
        <v>6</v>
      </c>
      <c r="C32" s="23">
        <f>B32+1</f>
        <v>7</v>
      </c>
      <c r="D32" s="23">
        <f>C32+1</f>
        <v>8</v>
      </c>
      <c r="E32" s="23">
        <v>1696.3</v>
      </c>
      <c r="F32" s="23">
        <v>7.58</v>
      </c>
      <c r="G32" s="23">
        <f t="shared" si="3"/>
        <v>223.7862796833773</v>
      </c>
      <c r="H32" s="15">
        <v>2</v>
      </c>
      <c r="I32" s="15">
        <v>3</v>
      </c>
      <c r="J32" s="22">
        <v>11</v>
      </c>
      <c r="K32" s="15">
        <v>12</v>
      </c>
      <c r="L32" s="15">
        <v>-12.19</v>
      </c>
      <c r="M32" s="15">
        <v>6.29</v>
      </c>
      <c r="N32" s="15">
        <f t="shared" si="4"/>
        <v>1.9379968203497615</v>
      </c>
      <c r="O32" s="15">
        <v>5</v>
      </c>
      <c r="P32" s="15">
        <f t="shared" si="11"/>
        <v>10</v>
      </c>
      <c r="Q32" s="15">
        <f t="shared" si="12"/>
        <v>15</v>
      </c>
      <c r="R32" s="15"/>
      <c r="S32" s="15"/>
    </row>
    <row r="33" spans="1:19" x14ac:dyDescent="0.15">
      <c r="A33" s="23">
        <v>5</v>
      </c>
      <c r="B33" s="17">
        <f t="shared" ref="B33:B38" si="15">B32+1</f>
        <v>7</v>
      </c>
      <c r="C33" s="23">
        <f t="shared" ref="C33:C38" si="16">C32+2</f>
        <v>9</v>
      </c>
      <c r="D33" s="23">
        <f>D32+3</f>
        <v>11</v>
      </c>
      <c r="E33" s="23">
        <v>1069.33</v>
      </c>
      <c r="F33" s="23">
        <v>10.39</v>
      </c>
      <c r="G33" s="23">
        <f t="shared" si="3"/>
        <v>102.9191530317613</v>
      </c>
      <c r="H33" s="15">
        <v>2</v>
      </c>
      <c r="I33" s="15">
        <v>3</v>
      </c>
      <c r="J33" s="22">
        <v>12</v>
      </c>
      <c r="K33" s="15">
        <v>13</v>
      </c>
      <c r="L33" s="15">
        <v>-9.98</v>
      </c>
      <c r="M33" s="15">
        <v>6.34</v>
      </c>
      <c r="N33" s="15">
        <f t="shared" si="4"/>
        <v>1.5741324921135649</v>
      </c>
      <c r="O33" s="15">
        <v>5</v>
      </c>
      <c r="P33" s="15">
        <f t="shared" si="11"/>
        <v>11</v>
      </c>
      <c r="Q33" s="15">
        <f t="shared" si="12"/>
        <v>17</v>
      </c>
      <c r="R33" s="15"/>
      <c r="S33" s="15"/>
    </row>
    <row r="34" spans="1:19" x14ac:dyDescent="0.15">
      <c r="A34" s="23">
        <v>5</v>
      </c>
      <c r="B34" s="17">
        <f t="shared" si="15"/>
        <v>8</v>
      </c>
      <c r="C34" s="23">
        <f t="shared" si="16"/>
        <v>11</v>
      </c>
      <c r="D34" s="23">
        <f>D33+3</f>
        <v>14</v>
      </c>
      <c r="E34" s="23">
        <v>698.28</v>
      </c>
      <c r="F34" s="23">
        <v>7.1</v>
      </c>
      <c r="G34" s="23">
        <f t="shared" si="3"/>
        <v>98.349295774647885</v>
      </c>
      <c r="H34" s="15">
        <v>2</v>
      </c>
      <c r="I34" s="15">
        <v>3</v>
      </c>
      <c r="J34" s="22">
        <v>13</v>
      </c>
      <c r="K34" s="15">
        <v>14</v>
      </c>
      <c r="L34" s="15">
        <v>-11.24</v>
      </c>
      <c r="M34" s="15">
        <v>6.27</v>
      </c>
      <c r="N34" s="15">
        <f t="shared" si="4"/>
        <v>1.7926634768740033</v>
      </c>
      <c r="O34" s="15">
        <v>6</v>
      </c>
      <c r="P34" s="15">
        <v>7</v>
      </c>
      <c r="Q34" s="15">
        <v>8</v>
      </c>
      <c r="R34" s="15"/>
      <c r="S34" s="15"/>
    </row>
    <row r="35" spans="1:19" x14ac:dyDescent="0.15">
      <c r="A35" s="23">
        <v>5</v>
      </c>
      <c r="B35" s="17">
        <f t="shared" si="15"/>
        <v>9</v>
      </c>
      <c r="C35" s="23">
        <f t="shared" si="16"/>
        <v>13</v>
      </c>
      <c r="D35" s="23">
        <f>D34+3</f>
        <v>17</v>
      </c>
      <c r="E35" s="23">
        <v>639.16</v>
      </c>
      <c r="F35" s="23">
        <v>7.65</v>
      </c>
      <c r="G35" s="23">
        <f t="shared" si="3"/>
        <v>83.550326797385608</v>
      </c>
      <c r="H35" s="15">
        <v>2</v>
      </c>
      <c r="I35" s="15">
        <v>3</v>
      </c>
      <c r="J35" s="22">
        <v>14</v>
      </c>
      <c r="K35" s="15">
        <v>15</v>
      </c>
      <c r="L35" s="15">
        <v>-8.48</v>
      </c>
      <c r="M35" s="15">
        <v>6.36</v>
      </c>
      <c r="N35" s="15">
        <f t="shared" si="4"/>
        <v>1.3333333333333333</v>
      </c>
      <c r="O35" s="15">
        <v>6</v>
      </c>
      <c r="P35" s="15">
        <f t="shared" si="11"/>
        <v>8</v>
      </c>
      <c r="Q35" s="15">
        <f t="shared" ref="Q35:Q97" si="17">Q34+2</f>
        <v>10</v>
      </c>
      <c r="R35" s="15"/>
      <c r="S35" s="15"/>
    </row>
    <row r="36" spans="1:19" x14ac:dyDescent="0.15">
      <c r="A36" s="23">
        <v>5</v>
      </c>
      <c r="B36" s="17">
        <f t="shared" si="15"/>
        <v>10</v>
      </c>
      <c r="C36" s="23">
        <f t="shared" si="16"/>
        <v>15</v>
      </c>
      <c r="D36" s="23">
        <f>D35+3</f>
        <v>20</v>
      </c>
      <c r="E36" s="23">
        <v>540.6</v>
      </c>
      <c r="F36" s="23">
        <v>8.15</v>
      </c>
      <c r="G36" s="23">
        <f t="shared" si="3"/>
        <v>66.331288343558285</v>
      </c>
      <c r="H36" s="15">
        <v>2</v>
      </c>
      <c r="I36" s="15">
        <v>3</v>
      </c>
      <c r="J36" s="22">
        <v>15</v>
      </c>
      <c r="K36" s="15">
        <v>16</v>
      </c>
      <c r="L36" s="15">
        <v>-9.92</v>
      </c>
      <c r="M36" s="15">
        <v>6.28</v>
      </c>
      <c r="N36" s="15">
        <f t="shared" si="4"/>
        <v>1.5796178343949043</v>
      </c>
      <c r="O36" s="15">
        <v>6</v>
      </c>
      <c r="P36" s="15">
        <f t="shared" si="11"/>
        <v>9</v>
      </c>
      <c r="Q36" s="15">
        <f t="shared" si="17"/>
        <v>12</v>
      </c>
      <c r="R36" s="15"/>
      <c r="S36" s="15"/>
    </row>
    <row r="37" spans="1:19" x14ac:dyDescent="0.15">
      <c r="A37" s="23">
        <v>5</v>
      </c>
      <c r="B37" s="17">
        <f t="shared" si="15"/>
        <v>11</v>
      </c>
      <c r="C37" s="23">
        <f t="shared" si="16"/>
        <v>17</v>
      </c>
      <c r="D37" s="23">
        <f>D36+3</f>
        <v>23</v>
      </c>
      <c r="E37" s="23">
        <v>478.58</v>
      </c>
      <c r="F37" s="23">
        <v>9.4700000000000006</v>
      </c>
      <c r="G37" s="23">
        <f t="shared" si="3"/>
        <v>50.536430834213299</v>
      </c>
      <c r="H37" s="15">
        <v>2</v>
      </c>
      <c r="I37" s="15">
        <v>3</v>
      </c>
      <c r="J37" s="22">
        <v>16</v>
      </c>
      <c r="K37" s="15">
        <v>17</v>
      </c>
      <c r="L37" s="15">
        <v>-10.85</v>
      </c>
      <c r="M37" s="15">
        <v>6.28</v>
      </c>
      <c r="N37" s="15">
        <f t="shared" si="4"/>
        <v>1.7277070063694266</v>
      </c>
      <c r="O37" s="15">
        <v>6</v>
      </c>
      <c r="P37" s="15">
        <f t="shared" si="11"/>
        <v>10</v>
      </c>
      <c r="Q37" s="15">
        <f t="shared" si="17"/>
        <v>14</v>
      </c>
      <c r="R37" s="15"/>
      <c r="S37" s="15"/>
    </row>
    <row r="38" spans="1:19" x14ac:dyDescent="0.15">
      <c r="A38" s="23">
        <v>5</v>
      </c>
      <c r="B38" s="17">
        <f t="shared" si="15"/>
        <v>12</v>
      </c>
      <c r="C38" s="23">
        <f t="shared" si="16"/>
        <v>19</v>
      </c>
      <c r="D38" s="23">
        <v>2</v>
      </c>
      <c r="E38" s="23">
        <v>240.04</v>
      </c>
      <c r="F38" s="23">
        <v>8.14</v>
      </c>
      <c r="G38" s="23">
        <f t="shared" si="3"/>
        <v>29.488943488943487</v>
      </c>
      <c r="H38" s="15">
        <v>2</v>
      </c>
      <c r="I38" s="15">
        <v>3</v>
      </c>
      <c r="J38" s="22">
        <v>17</v>
      </c>
      <c r="K38" s="15">
        <v>18</v>
      </c>
      <c r="L38" s="15">
        <v>-10.87</v>
      </c>
      <c r="M38" s="15">
        <v>6.26</v>
      </c>
      <c r="N38" s="15">
        <f t="shared" si="4"/>
        <v>1.7364217252396166</v>
      </c>
      <c r="O38" s="15">
        <v>6</v>
      </c>
      <c r="P38" s="15">
        <f t="shared" si="11"/>
        <v>11</v>
      </c>
      <c r="Q38" s="15">
        <f t="shared" si="17"/>
        <v>16</v>
      </c>
      <c r="R38" s="15"/>
      <c r="S38" s="15"/>
    </row>
    <row r="39" spans="1:19" x14ac:dyDescent="0.15">
      <c r="A39" s="23">
        <v>6</v>
      </c>
      <c r="B39" s="17">
        <f>A39+1</f>
        <v>7</v>
      </c>
      <c r="C39" s="23">
        <f>B39+1</f>
        <v>8</v>
      </c>
      <c r="D39" s="23">
        <f>C39+1</f>
        <v>9</v>
      </c>
      <c r="E39" s="23">
        <v>1660.45</v>
      </c>
      <c r="F39" s="23">
        <v>6.88</v>
      </c>
      <c r="G39" s="23">
        <f t="shared" si="3"/>
        <v>241.34447674418607</v>
      </c>
      <c r="H39" s="15">
        <v>2</v>
      </c>
      <c r="I39" s="15">
        <v>3</v>
      </c>
      <c r="J39" s="22">
        <v>18</v>
      </c>
      <c r="K39" s="15">
        <v>19</v>
      </c>
      <c r="L39" s="15">
        <v>-12.64</v>
      </c>
      <c r="M39" s="15">
        <v>7.32</v>
      </c>
      <c r="N39" s="15">
        <f t="shared" si="4"/>
        <v>1.7267759562841529</v>
      </c>
      <c r="O39" s="15">
        <v>6</v>
      </c>
      <c r="P39" s="15">
        <f t="shared" si="11"/>
        <v>12</v>
      </c>
      <c r="Q39" s="15">
        <f t="shared" si="17"/>
        <v>18</v>
      </c>
      <c r="R39" s="15"/>
      <c r="S39" s="15"/>
    </row>
    <row r="40" spans="1:19" x14ac:dyDescent="0.15">
      <c r="A40" s="23">
        <v>6</v>
      </c>
      <c r="B40" s="17">
        <f t="shared" ref="B40:B45" si="18">B39+1</f>
        <v>8</v>
      </c>
      <c r="C40" s="23">
        <f t="shared" ref="C40:C45" si="19">C39+2</f>
        <v>10</v>
      </c>
      <c r="D40" s="23">
        <f>D39+3</f>
        <v>12</v>
      </c>
      <c r="E40" s="23">
        <v>1291.51</v>
      </c>
      <c r="F40" s="23">
        <v>10.24</v>
      </c>
      <c r="G40" s="23">
        <f t="shared" si="3"/>
        <v>126.1240234375</v>
      </c>
      <c r="H40" s="15">
        <v>2</v>
      </c>
      <c r="I40" s="15">
        <v>3</v>
      </c>
      <c r="J40" s="22">
        <v>19</v>
      </c>
      <c r="K40" s="15">
        <v>20</v>
      </c>
      <c r="L40" s="15">
        <v>-15.39</v>
      </c>
      <c r="M40" s="15">
        <v>7.31</v>
      </c>
      <c r="N40" s="15">
        <f t="shared" si="4"/>
        <v>2.1053351573187418</v>
      </c>
      <c r="O40" s="15">
        <v>7</v>
      </c>
      <c r="P40" s="15">
        <v>8</v>
      </c>
      <c r="Q40" s="15">
        <v>9</v>
      </c>
      <c r="R40" s="15"/>
      <c r="S40" s="15"/>
    </row>
    <row r="41" spans="1:19" x14ac:dyDescent="0.15">
      <c r="A41" s="23">
        <v>6</v>
      </c>
      <c r="B41" s="17">
        <f t="shared" si="18"/>
        <v>9</v>
      </c>
      <c r="C41" s="23">
        <f t="shared" si="19"/>
        <v>12</v>
      </c>
      <c r="D41" s="23">
        <f>D40+3</f>
        <v>15</v>
      </c>
      <c r="E41" s="23">
        <v>884.93</v>
      </c>
      <c r="F41" s="23">
        <v>8.18</v>
      </c>
      <c r="G41" s="23">
        <f t="shared" si="3"/>
        <v>108.18215158924205</v>
      </c>
      <c r="H41" s="15">
        <v>2</v>
      </c>
      <c r="I41" s="15">
        <v>3</v>
      </c>
      <c r="J41" s="22">
        <v>20</v>
      </c>
      <c r="K41" s="15">
        <v>21</v>
      </c>
      <c r="L41" s="15">
        <v>-20.2</v>
      </c>
      <c r="M41" s="15">
        <v>7.26</v>
      </c>
      <c r="N41" s="15">
        <f t="shared" si="4"/>
        <v>2.7823691460055096</v>
      </c>
      <c r="O41" s="15">
        <v>7</v>
      </c>
      <c r="P41" s="15">
        <f t="shared" si="11"/>
        <v>9</v>
      </c>
      <c r="Q41" s="15">
        <f t="shared" si="17"/>
        <v>11</v>
      </c>
      <c r="R41" s="15"/>
      <c r="S41" s="15"/>
    </row>
    <row r="42" spans="1:19" x14ac:dyDescent="0.15">
      <c r="A42" s="23">
        <v>6</v>
      </c>
      <c r="B42" s="17">
        <f t="shared" si="18"/>
        <v>10</v>
      </c>
      <c r="C42" s="23">
        <f t="shared" si="19"/>
        <v>14</v>
      </c>
      <c r="D42" s="23">
        <f>D41+3</f>
        <v>18</v>
      </c>
      <c r="E42" s="23">
        <v>434.85</v>
      </c>
      <c r="F42" s="23">
        <v>5.18</v>
      </c>
      <c r="G42" s="23">
        <f t="shared" si="3"/>
        <v>83.947876447876453</v>
      </c>
      <c r="H42" s="15">
        <v>2</v>
      </c>
      <c r="I42" s="15">
        <v>3</v>
      </c>
      <c r="J42" s="22">
        <v>21</v>
      </c>
      <c r="K42" s="15">
        <v>22</v>
      </c>
      <c r="L42" s="15">
        <v>-31.96</v>
      </c>
      <c r="M42" s="15">
        <v>7.45</v>
      </c>
      <c r="N42" s="15">
        <f t="shared" si="4"/>
        <v>4.2899328859060404</v>
      </c>
      <c r="O42" s="15">
        <v>7</v>
      </c>
      <c r="P42" s="15">
        <f t="shared" si="11"/>
        <v>10</v>
      </c>
      <c r="Q42" s="15">
        <f t="shared" si="17"/>
        <v>13</v>
      </c>
      <c r="R42" s="15"/>
      <c r="S42" s="15"/>
    </row>
    <row r="43" spans="1:19" x14ac:dyDescent="0.15">
      <c r="A43" s="23">
        <v>6</v>
      </c>
      <c r="B43" s="17">
        <f t="shared" si="18"/>
        <v>11</v>
      </c>
      <c r="C43" s="23">
        <f t="shared" si="19"/>
        <v>16</v>
      </c>
      <c r="D43" s="23">
        <f>D42+3</f>
        <v>21</v>
      </c>
      <c r="E43" s="23">
        <v>463.74</v>
      </c>
      <c r="F43" s="23">
        <v>6.62</v>
      </c>
      <c r="G43" s="23">
        <f t="shared" si="3"/>
        <v>70.051359516616316</v>
      </c>
      <c r="H43" s="15">
        <v>2</v>
      </c>
      <c r="I43" s="15">
        <v>3</v>
      </c>
      <c r="J43" s="22">
        <v>22</v>
      </c>
      <c r="K43" s="15">
        <v>23</v>
      </c>
      <c r="L43" s="15">
        <v>-58.9</v>
      </c>
      <c r="M43" s="15">
        <v>7.31</v>
      </c>
      <c r="N43" s="15">
        <f t="shared" si="4"/>
        <v>8.0574555403556776</v>
      </c>
      <c r="O43" s="15">
        <v>7</v>
      </c>
      <c r="P43" s="15">
        <f t="shared" si="11"/>
        <v>11</v>
      </c>
      <c r="Q43" s="15">
        <f t="shared" si="17"/>
        <v>15</v>
      </c>
      <c r="R43" s="15"/>
      <c r="S43" s="15"/>
    </row>
    <row r="44" spans="1:19" x14ac:dyDescent="0.15">
      <c r="A44" s="23">
        <v>6</v>
      </c>
      <c r="B44" s="17">
        <f t="shared" si="18"/>
        <v>12</v>
      </c>
      <c r="C44" s="23">
        <f t="shared" si="19"/>
        <v>18</v>
      </c>
      <c r="D44" s="23">
        <f>D43+3</f>
        <v>24</v>
      </c>
      <c r="E44" s="23">
        <v>375.18</v>
      </c>
      <c r="F44" s="23">
        <v>6.93</v>
      </c>
      <c r="G44" s="23">
        <f t="shared" si="3"/>
        <v>54.138528138528144</v>
      </c>
      <c r="H44" s="15">
        <v>2</v>
      </c>
      <c r="I44" s="15">
        <v>3</v>
      </c>
      <c r="J44" s="22">
        <v>23</v>
      </c>
      <c r="K44" s="15">
        <v>24</v>
      </c>
      <c r="L44" s="15">
        <v>-135.09</v>
      </c>
      <c r="M44" s="15">
        <v>7.48</v>
      </c>
      <c r="N44" s="15">
        <f t="shared" si="4"/>
        <v>18.060160427807485</v>
      </c>
      <c r="O44" s="15">
        <v>7</v>
      </c>
      <c r="P44" s="15">
        <f t="shared" si="11"/>
        <v>12</v>
      </c>
      <c r="Q44" s="15">
        <f t="shared" si="17"/>
        <v>17</v>
      </c>
      <c r="R44" s="15"/>
      <c r="S44" s="15"/>
    </row>
    <row r="45" spans="1:19" x14ac:dyDescent="0.15">
      <c r="A45" s="23">
        <v>6</v>
      </c>
      <c r="B45" s="17">
        <f t="shared" si="18"/>
        <v>13</v>
      </c>
      <c r="C45" s="23">
        <f t="shared" si="19"/>
        <v>20</v>
      </c>
      <c r="D45" s="23">
        <v>3</v>
      </c>
      <c r="E45" s="23">
        <v>223.6</v>
      </c>
      <c r="F45" s="23">
        <v>6.92</v>
      </c>
      <c r="G45" s="23">
        <f t="shared" si="3"/>
        <v>32.312138728323696</v>
      </c>
      <c r="H45" s="15">
        <v>2</v>
      </c>
      <c r="I45" s="15">
        <v>3</v>
      </c>
      <c r="J45" s="22">
        <v>24</v>
      </c>
      <c r="K45" s="15">
        <v>1</v>
      </c>
      <c r="L45" s="15">
        <v>-457.08</v>
      </c>
      <c r="M45" s="15">
        <v>5.91</v>
      </c>
      <c r="N45" s="15">
        <f t="shared" si="4"/>
        <v>77.34010152284263</v>
      </c>
      <c r="O45" s="15">
        <v>7</v>
      </c>
      <c r="P45" s="15">
        <f t="shared" si="11"/>
        <v>13</v>
      </c>
      <c r="Q45" s="15">
        <f t="shared" si="17"/>
        <v>19</v>
      </c>
      <c r="R45" s="15"/>
      <c r="S45" s="15"/>
    </row>
    <row r="46" spans="1:19" x14ac:dyDescent="0.15">
      <c r="A46" s="23">
        <v>7</v>
      </c>
      <c r="B46" s="17">
        <f>A46+1</f>
        <v>8</v>
      </c>
      <c r="C46" s="23">
        <f>B46+1</f>
        <v>9</v>
      </c>
      <c r="D46" s="23">
        <f>C46+1</f>
        <v>10</v>
      </c>
      <c r="E46" s="23">
        <v>1639.52</v>
      </c>
      <c r="F46" s="23">
        <v>7.91</v>
      </c>
      <c r="G46" s="23">
        <f t="shared" si="3"/>
        <v>207.27180783817951</v>
      </c>
      <c r="H46" s="15">
        <v>3</v>
      </c>
      <c r="I46" s="15">
        <v>4</v>
      </c>
      <c r="J46" s="15">
        <v>5</v>
      </c>
      <c r="K46" s="15">
        <v>6</v>
      </c>
      <c r="L46" s="15">
        <v>-415.33</v>
      </c>
      <c r="M46" s="15">
        <v>5.26</v>
      </c>
      <c r="N46" s="15">
        <f t="shared" si="4"/>
        <v>78.960076045627375</v>
      </c>
      <c r="O46" s="15">
        <v>8</v>
      </c>
      <c r="P46" s="15">
        <v>9</v>
      </c>
      <c r="Q46" s="15">
        <v>10</v>
      </c>
      <c r="R46" s="15"/>
      <c r="S46" s="15"/>
    </row>
    <row r="47" spans="1:19" x14ac:dyDescent="0.15">
      <c r="A47" s="23">
        <v>7</v>
      </c>
      <c r="B47" s="17">
        <f t="shared" ref="B47:B52" si="20">B46+1</f>
        <v>9</v>
      </c>
      <c r="C47" s="23">
        <f t="shared" ref="C47:C52" si="21">C46+2</f>
        <v>11</v>
      </c>
      <c r="D47" s="23">
        <f>D46+3</f>
        <v>13</v>
      </c>
      <c r="E47" s="23">
        <v>961.75</v>
      </c>
      <c r="F47" s="23">
        <v>7.26</v>
      </c>
      <c r="G47" s="23">
        <f t="shared" si="3"/>
        <v>132.47245179063361</v>
      </c>
      <c r="H47" s="15">
        <v>3</v>
      </c>
      <c r="I47" s="15">
        <v>4</v>
      </c>
      <c r="J47" s="15">
        <v>6</v>
      </c>
      <c r="K47" s="15">
        <v>7</v>
      </c>
      <c r="L47" s="15">
        <v>-115.16</v>
      </c>
      <c r="M47" s="15">
        <v>5.28</v>
      </c>
      <c r="N47" s="15">
        <f t="shared" si="4"/>
        <v>21.810606060606059</v>
      </c>
      <c r="O47" s="15">
        <v>8</v>
      </c>
      <c r="P47" s="15">
        <f t="shared" si="11"/>
        <v>10</v>
      </c>
      <c r="Q47" s="15">
        <f t="shared" si="17"/>
        <v>12</v>
      </c>
      <c r="R47" s="15"/>
      <c r="S47" s="15"/>
    </row>
    <row r="48" spans="1:19" x14ac:dyDescent="0.15">
      <c r="A48" s="23">
        <v>7</v>
      </c>
      <c r="B48" s="17">
        <f t="shared" si="20"/>
        <v>10</v>
      </c>
      <c r="C48" s="23">
        <f t="shared" si="21"/>
        <v>13</v>
      </c>
      <c r="D48" s="23">
        <f>D47+3</f>
        <v>16</v>
      </c>
      <c r="E48" s="23">
        <v>795.21</v>
      </c>
      <c r="F48" s="23">
        <v>8.27</v>
      </c>
      <c r="G48" s="23">
        <f t="shared" si="3"/>
        <v>96.1559854897219</v>
      </c>
      <c r="H48" s="15">
        <v>3</v>
      </c>
      <c r="I48" s="15">
        <v>4</v>
      </c>
      <c r="J48" s="15">
        <v>7</v>
      </c>
      <c r="K48" s="15">
        <v>8</v>
      </c>
      <c r="L48" s="15">
        <v>-49.44</v>
      </c>
      <c r="M48" s="15">
        <v>5.19</v>
      </c>
      <c r="N48" s="15">
        <f t="shared" si="4"/>
        <v>9.5260115606936413</v>
      </c>
      <c r="O48" s="15">
        <v>8</v>
      </c>
      <c r="P48" s="15">
        <f t="shared" si="11"/>
        <v>11</v>
      </c>
      <c r="Q48" s="15">
        <f t="shared" si="17"/>
        <v>14</v>
      </c>
      <c r="R48" s="15"/>
      <c r="S48" s="15"/>
    </row>
    <row r="49" spans="1:19" x14ac:dyDescent="0.15">
      <c r="A49" s="23">
        <v>7</v>
      </c>
      <c r="B49" s="17">
        <f t="shared" si="20"/>
        <v>11</v>
      </c>
      <c r="C49" s="23">
        <f t="shared" si="21"/>
        <v>15</v>
      </c>
      <c r="D49" s="23">
        <f>D48+3</f>
        <v>19</v>
      </c>
      <c r="E49" s="23">
        <v>598.26</v>
      </c>
      <c r="F49" s="23">
        <v>7.08</v>
      </c>
      <c r="G49" s="23">
        <f t="shared" si="3"/>
        <v>84.5</v>
      </c>
      <c r="H49" s="15">
        <v>3</v>
      </c>
      <c r="I49" s="15">
        <v>4</v>
      </c>
      <c r="J49" s="15">
        <v>8</v>
      </c>
      <c r="K49" s="15">
        <v>9</v>
      </c>
      <c r="L49" s="15">
        <v>-26.21</v>
      </c>
      <c r="M49" s="15">
        <v>5.1100000000000003</v>
      </c>
      <c r="N49" s="15">
        <f t="shared" si="4"/>
        <v>5.1291585127201564</v>
      </c>
      <c r="O49" s="15">
        <v>8</v>
      </c>
      <c r="P49" s="15">
        <f t="shared" si="11"/>
        <v>12</v>
      </c>
      <c r="Q49" s="15">
        <f t="shared" si="17"/>
        <v>16</v>
      </c>
      <c r="R49" s="15"/>
      <c r="S49" s="15"/>
    </row>
    <row r="50" spans="1:19" x14ac:dyDescent="0.15">
      <c r="A50" s="23">
        <v>7</v>
      </c>
      <c r="B50" s="17">
        <f t="shared" si="20"/>
        <v>12</v>
      </c>
      <c r="C50" s="23">
        <f t="shared" si="21"/>
        <v>17</v>
      </c>
      <c r="D50" s="23">
        <f>D49+3</f>
        <v>22</v>
      </c>
      <c r="E50" s="23">
        <v>504.44</v>
      </c>
      <c r="F50" s="23">
        <v>7.11</v>
      </c>
      <c r="G50" s="23">
        <f t="shared" si="3"/>
        <v>70.947960618846693</v>
      </c>
      <c r="H50" s="15">
        <v>3</v>
      </c>
      <c r="I50" s="15">
        <v>4</v>
      </c>
      <c r="J50" s="15">
        <v>9</v>
      </c>
      <c r="K50" s="15">
        <v>10</v>
      </c>
      <c r="L50" s="15">
        <v>-16.399999999999999</v>
      </c>
      <c r="M50" s="15">
        <v>5.0199999999999996</v>
      </c>
      <c r="N50" s="15">
        <f t="shared" si="4"/>
        <v>3.2669322709163349</v>
      </c>
      <c r="O50" s="15">
        <v>8</v>
      </c>
      <c r="P50" s="15">
        <f t="shared" si="11"/>
        <v>13</v>
      </c>
      <c r="Q50" s="15">
        <f t="shared" si="17"/>
        <v>18</v>
      </c>
      <c r="R50" s="15"/>
      <c r="S50" s="15"/>
    </row>
    <row r="51" spans="1:19" x14ac:dyDescent="0.15">
      <c r="A51" s="23">
        <v>7</v>
      </c>
      <c r="B51" s="17">
        <f t="shared" si="20"/>
        <v>13</v>
      </c>
      <c r="C51" s="23">
        <f t="shared" si="21"/>
        <v>19</v>
      </c>
      <c r="D51" s="23">
        <v>1</v>
      </c>
      <c r="E51" s="23">
        <v>417.8</v>
      </c>
      <c r="F51" s="23">
        <v>7.45</v>
      </c>
      <c r="G51" s="23">
        <f t="shared" si="3"/>
        <v>56.080536912751676</v>
      </c>
      <c r="H51" s="15">
        <v>3</v>
      </c>
      <c r="I51" s="15">
        <v>4</v>
      </c>
      <c r="J51" s="15">
        <v>10</v>
      </c>
      <c r="K51" s="15">
        <v>11</v>
      </c>
      <c r="L51" s="15">
        <v>-15.18</v>
      </c>
      <c r="M51" s="15">
        <v>5.33</v>
      </c>
      <c r="N51" s="15">
        <f t="shared" si="4"/>
        <v>2.848030018761726</v>
      </c>
      <c r="O51" s="15">
        <v>8</v>
      </c>
      <c r="P51" s="15">
        <f t="shared" si="11"/>
        <v>14</v>
      </c>
      <c r="Q51" s="15">
        <f t="shared" si="17"/>
        <v>20</v>
      </c>
      <c r="R51" s="15"/>
      <c r="S51" s="15"/>
    </row>
    <row r="52" spans="1:19" x14ac:dyDescent="0.15">
      <c r="A52" s="23">
        <v>7</v>
      </c>
      <c r="B52" s="17">
        <f t="shared" si="20"/>
        <v>14</v>
      </c>
      <c r="C52" s="23">
        <f t="shared" si="21"/>
        <v>21</v>
      </c>
      <c r="D52" s="23">
        <f>D51+3</f>
        <v>4</v>
      </c>
      <c r="E52" s="23">
        <v>194.21</v>
      </c>
      <c r="F52" s="23">
        <v>6.24</v>
      </c>
      <c r="G52" s="23">
        <f t="shared" si="3"/>
        <v>31.123397435897434</v>
      </c>
      <c r="H52" s="15">
        <v>3</v>
      </c>
      <c r="I52" s="15">
        <v>4</v>
      </c>
      <c r="J52" s="15">
        <v>11</v>
      </c>
      <c r="K52" s="15">
        <v>12</v>
      </c>
      <c r="L52" s="15">
        <v>-11.34</v>
      </c>
      <c r="M52" s="15">
        <v>5.0199999999999996</v>
      </c>
      <c r="N52" s="15">
        <f t="shared" si="4"/>
        <v>2.258964143426295</v>
      </c>
      <c r="O52" s="15">
        <v>9</v>
      </c>
      <c r="P52" s="15">
        <v>10</v>
      </c>
      <c r="Q52" s="15">
        <v>11</v>
      </c>
      <c r="R52" s="15"/>
      <c r="S52" s="15"/>
    </row>
    <row r="53" spans="1:19" x14ac:dyDescent="0.15">
      <c r="A53" s="23">
        <v>8</v>
      </c>
      <c r="B53" s="17">
        <f>A53+1</f>
        <v>9</v>
      </c>
      <c r="C53" s="23">
        <f>B53+1</f>
        <v>10</v>
      </c>
      <c r="D53" s="23">
        <f>C53+1</f>
        <v>11</v>
      </c>
      <c r="E53" s="23">
        <v>1889.42</v>
      </c>
      <c r="F53" s="23">
        <v>8.34</v>
      </c>
      <c r="G53" s="23">
        <f t="shared" si="3"/>
        <v>226.54916067146283</v>
      </c>
      <c r="H53" s="15">
        <v>3</v>
      </c>
      <c r="I53" s="15">
        <v>4</v>
      </c>
      <c r="J53" s="15">
        <v>12</v>
      </c>
      <c r="K53" s="15">
        <v>13</v>
      </c>
      <c r="L53" s="15">
        <v>-9.98</v>
      </c>
      <c r="M53" s="15">
        <v>5.41</v>
      </c>
      <c r="N53" s="15">
        <f t="shared" si="4"/>
        <v>1.844731977818854</v>
      </c>
      <c r="O53" s="15">
        <v>9</v>
      </c>
      <c r="P53" s="15">
        <f t="shared" si="11"/>
        <v>11</v>
      </c>
      <c r="Q53" s="15">
        <f t="shared" si="17"/>
        <v>13</v>
      </c>
      <c r="R53" s="15"/>
      <c r="S53" s="15"/>
    </row>
    <row r="54" spans="1:19" x14ac:dyDescent="0.15">
      <c r="A54" s="23">
        <v>8</v>
      </c>
      <c r="B54" s="17">
        <f t="shared" ref="B54:B59" si="22">B53+1</f>
        <v>10</v>
      </c>
      <c r="C54" s="23">
        <f t="shared" ref="C54:C59" si="23">C53+2</f>
        <v>12</v>
      </c>
      <c r="D54" s="23">
        <f>D53+3</f>
        <v>14</v>
      </c>
      <c r="E54" s="23">
        <v>798.02</v>
      </c>
      <c r="F54" s="23">
        <v>6.39</v>
      </c>
      <c r="G54" s="23">
        <f t="shared" si="3"/>
        <v>124.88575899843505</v>
      </c>
      <c r="H54" s="15">
        <v>3</v>
      </c>
      <c r="I54" s="15">
        <v>4</v>
      </c>
      <c r="J54" s="15">
        <v>13</v>
      </c>
      <c r="K54" s="15">
        <v>14</v>
      </c>
      <c r="L54" s="15">
        <v>-8.98</v>
      </c>
      <c r="M54" s="15">
        <v>5.24</v>
      </c>
      <c r="N54" s="15">
        <f t="shared" si="4"/>
        <v>1.7137404580152671</v>
      </c>
      <c r="O54" s="15">
        <v>9</v>
      </c>
      <c r="P54" s="15">
        <f t="shared" si="11"/>
        <v>12</v>
      </c>
      <c r="Q54" s="15">
        <f t="shared" si="17"/>
        <v>15</v>
      </c>
      <c r="R54" s="15"/>
      <c r="S54" s="15"/>
    </row>
    <row r="55" spans="1:19" x14ac:dyDescent="0.15">
      <c r="A55" s="23">
        <v>8</v>
      </c>
      <c r="B55" s="17">
        <f t="shared" si="22"/>
        <v>11</v>
      </c>
      <c r="C55" s="23">
        <f t="shared" si="23"/>
        <v>14</v>
      </c>
      <c r="D55" s="23">
        <f>D54+3</f>
        <v>17</v>
      </c>
      <c r="E55" s="23">
        <v>767.72</v>
      </c>
      <c r="F55" s="23">
        <v>7.6</v>
      </c>
      <c r="G55" s="23">
        <f t="shared" si="3"/>
        <v>101.01578947368422</v>
      </c>
      <c r="H55" s="15">
        <v>3</v>
      </c>
      <c r="I55" s="15">
        <v>4</v>
      </c>
      <c r="J55" s="15">
        <v>14</v>
      </c>
      <c r="K55" s="15">
        <v>15</v>
      </c>
      <c r="L55" s="15">
        <v>-6.58</v>
      </c>
      <c r="M55" s="15">
        <v>4.93</v>
      </c>
      <c r="N55" s="15">
        <f t="shared" si="4"/>
        <v>1.3346855983772821</v>
      </c>
      <c r="O55" s="15">
        <v>9</v>
      </c>
      <c r="P55" s="15">
        <f t="shared" si="11"/>
        <v>13</v>
      </c>
      <c r="Q55" s="15">
        <f t="shared" si="17"/>
        <v>17</v>
      </c>
      <c r="R55" s="15"/>
      <c r="S55" s="15"/>
    </row>
    <row r="56" spans="1:19" x14ac:dyDescent="0.15">
      <c r="A56" s="23">
        <v>8</v>
      </c>
      <c r="B56" s="17">
        <f t="shared" si="22"/>
        <v>12</v>
      </c>
      <c r="C56" s="23">
        <f t="shared" si="23"/>
        <v>16</v>
      </c>
      <c r="D56" s="23">
        <f>D55+3</f>
        <v>20</v>
      </c>
      <c r="E56" s="23">
        <v>637.21</v>
      </c>
      <c r="F56" s="23">
        <v>7.49</v>
      </c>
      <c r="G56" s="23">
        <f t="shared" si="3"/>
        <v>85.074766355140184</v>
      </c>
      <c r="H56" s="15">
        <v>3</v>
      </c>
      <c r="I56" s="15">
        <v>4</v>
      </c>
      <c r="J56" s="15">
        <v>15</v>
      </c>
      <c r="K56" s="15">
        <v>16</v>
      </c>
      <c r="L56" s="15">
        <v>-7.29</v>
      </c>
      <c r="M56" s="15">
        <v>4.71</v>
      </c>
      <c r="N56" s="15">
        <f t="shared" si="4"/>
        <v>1.5477707006369428</v>
      </c>
      <c r="O56" s="15">
        <v>9</v>
      </c>
      <c r="P56" s="15">
        <f t="shared" si="11"/>
        <v>14</v>
      </c>
      <c r="Q56" s="15">
        <f t="shared" si="17"/>
        <v>19</v>
      </c>
      <c r="R56" s="15"/>
      <c r="S56" s="15"/>
    </row>
    <row r="57" spans="1:19" x14ac:dyDescent="0.15">
      <c r="A57" s="23">
        <v>8</v>
      </c>
      <c r="B57" s="17">
        <f t="shared" si="22"/>
        <v>13</v>
      </c>
      <c r="C57" s="23">
        <f t="shared" si="23"/>
        <v>18</v>
      </c>
      <c r="D57" s="23">
        <f>D56+3</f>
        <v>23</v>
      </c>
      <c r="E57" s="23">
        <v>596.32000000000005</v>
      </c>
      <c r="F57" s="23">
        <v>8.3000000000000007</v>
      </c>
      <c r="G57" s="23">
        <f t="shared" si="3"/>
        <v>71.845783132530116</v>
      </c>
      <c r="H57" s="15">
        <v>3</v>
      </c>
      <c r="I57" s="15">
        <v>4</v>
      </c>
      <c r="J57" s="15">
        <v>16</v>
      </c>
      <c r="K57" s="15">
        <v>17</v>
      </c>
      <c r="L57" s="15">
        <v>-8.25</v>
      </c>
      <c r="M57" s="15">
        <v>5</v>
      </c>
      <c r="N57" s="15">
        <f t="shared" si="4"/>
        <v>1.65</v>
      </c>
      <c r="O57" s="15">
        <v>9</v>
      </c>
      <c r="P57" s="15">
        <f t="shared" si="11"/>
        <v>15</v>
      </c>
      <c r="Q57" s="15">
        <f t="shared" si="17"/>
        <v>21</v>
      </c>
      <c r="R57" s="15"/>
      <c r="S57" s="15"/>
    </row>
    <row r="58" spans="1:19" x14ac:dyDescent="0.15">
      <c r="A58" s="23">
        <v>8</v>
      </c>
      <c r="B58" s="17">
        <f t="shared" si="22"/>
        <v>14</v>
      </c>
      <c r="C58" s="23">
        <f t="shared" si="23"/>
        <v>20</v>
      </c>
      <c r="D58" s="23">
        <v>2</v>
      </c>
      <c r="E58" s="23">
        <v>378.29</v>
      </c>
      <c r="F58" s="23">
        <v>7.04</v>
      </c>
      <c r="G58" s="23">
        <f t="shared" si="3"/>
        <v>53.734375</v>
      </c>
      <c r="H58" s="15">
        <v>3</v>
      </c>
      <c r="I58" s="15">
        <v>4</v>
      </c>
      <c r="J58" s="15">
        <v>17</v>
      </c>
      <c r="K58" s="15">
        <v>18</v>
      </c>
      <c r="L58" s="15">
        <v>-9.7899999999999991</v>
      </c>
      <c r="M58" s="15">
        <v>6.73</v>
      </c>
      <c r="N58" s="15">
        <f t="shared" si="4"/>
        <v>1.4546805349182761</v>
      </c>
      <c r="O58" s="15">
        <v>10</v>
      </c>
      <c r="P58" s="15">
        <v>11</v>
      </c>
      <c r="Q58" s="15">
        <v>12</v>
      </c>
      <c r="R58" s="15"/>
      <c r="S58" s="15"/>
    </row>
    <row r="59" spans="1:19" x14ac:dyDescent="0.15">
      <c r="A59" s="23">
        <v>8</v>
      </c>
      <c r="B59" s="17">
        <f t="shared" si="22"/>
        <v>15</v>
      </c>
      <c r="C59" s="23">
        <f t="shared" si="23"/>
        <v>22</v>
      </c>
      <c r="D59" s="23">
        <f>D58+3</f>
        <v>5</v>
      </c>
      <c r="E59" s="23">
        <v>234.05</v>
      </c>
      <c r="F59" s="23">
        <v>7.9</v>
      </c>
      <c r="G59" s="23">
        <f t="shared" si="3"/>
        <v>29.626582278481013</v>
      </c>
      <c r="H59" s="15">
        <v>3</v>
      </c>
      <c r="I59" s="15">
        <v>4</v>
      </c>
      <c r="J59" s="15">
        <v>18</v>
      </c>
      <c r="K59" s="15">
        <v>19</v>
      </c>
      <c r="L59" s="15">
        <v>-10.91</v>
      </c>
      <c r="M59" s="15">
        <v>6.78</v>
      </c>
      <c r="N59" s="15">
        <f t="shared" si="4"/>
        <v>1.6091445427728612</v>
      </c>
      <c r="O59" s="15">
        <v>10</v>
      </c>
      <c r="P59" s="15">
        <f t="shared" si="11"/>
        <v>12</v>
      </c>
      <c r="Q59" s="15">
        <f t="shared" si="17"/>
        <v>14</v>
      </c>
      <c r="R59" s="15"/>
      <c r="S59" s="15"/>
    </row>
    <row r="60" spans="1:19" x14ac:dyDescent="0.15">
      <c r="A60" s="23">
        <v>9</v>
      </c>
      <c r="B60" s="17">
        <f>A60+1</f>
        <v>10</v>
      </c>
      <c r="C60" s="23">
        <f>B60+1</f>
        <v>11</v>
      </c>
      <c r="D60" s="23">
        <f>C60+1</f>
        <v>12</v>
      </c>
      <c r="E60" s="23">
        <v>2014.02</v>
      </c>
      <c r="F60" s="23">
        <v>9.32</v>
      </c>
      <c r="G60" s="23">
        <f t="shared" si="3"/>
        <v>216.09656652360513</v>
      </c>
      <c r="H60" s="15">
        <v>3</v>
      </c>
      <c r="I60" s="15">
        <v>4</v>
      </c>
      <c r="J60" s="15">
        <v>19</v>
      </c>
      <c r="K60" s="15">
        <v>20</v>
      </c>
      <c r="L60" s="15">
        <v>-12.38</v>
      </c>
      <c r="M60" s="15">
        <v>6.68</v>
      </c>
      <c r="N60" s="15">
        <f t="shared" si="4"/>
        <v>1.8532934131736529</v>
      </c>
      <c r="O60" s="15">
        <v>10</v>
      </c>
      <c r="P60" s="15">
        <f t="shared" si="11"/>
        <v>13</v>
      </c>
      <c r="Q60" s="15">
        <f t="shared" si="17"/>
        <v>16</v>
      </c>
      <c r="R60" s="15"/>
      <c r="S60" s="15"/>
    </row>
    <row r="61" spans="1:19" x14ac:dyDescent="0.15">
      <c r="A61" s="23">
        <v>9</v>
      </c>
      <c r="B61" s="17">
        <f t="shared" ref="B61:B66" si="24">B60+1</f>
        <v>11</v>
      </c>
      <c r="C61" s="23">
        <f t="shared" ref="C61:C66" si="25">C60+2</f>
        <v>13</v>
      </c>
      <c r="D61" s="23">
        <f>D60+3</f>
        <v>15</v>
      </c>
      <c r="E61" s="23">
        <v>1224.67</v>
      </c>
      <c r="F61" s="23">
        <v>8.99</v>
      </c>
      <c r="G61" s="23">
        <f t="shared" si="3"/>
        <v>136.2258064516129</v>
      </c>
      <c r="H61" s="15">
        <v>3</v>
      </c>
      <c r="I61" s="15">
        <v>4</v>
      </c>
      <c r="J61" s="15">
        <v>20</v>
      </c>
      <c r="K61" s="15">
        <v>21</v>
      </c>
      <c r="L61" s="15">
        <v>-14.45</v>
      </c>
      <c r="M61" s="15">
        <v>6.74</v>
      </c>
      <c r="N61" s="15">
        <f t="shared" si="4"/>
        <v>2.1439169139465872</v>
      </c>
      <c r="O61" s="15">
        <v>10</v>
      </c>
      <c r="P61" s="15">
        <f t="shared" si="11"/>
        <v>14</v>
      </c>
      <c r="Q61" s="15">
        <f t="shared" si="17"/>
        <v>18</v>
      </c>
      <c r="R61" s="15"/>
      <c r="S61" s="15"/>
    </row>
    <row r="62" spans="1:19" x14ac:dyDescent="0.15">
      <c r="A62" s="23">
        <v>9</v>
      </c>
      <c r="B62" s="17">
        <f t="shared" si="24"/>
        <v>12</v>
      </c>
      <c r="C62" s="23">
        <f t="shared" si="25"/>
        <v>15</v>
      </c>
      <c r="D62" s="23">
        <f>D61+3</f>
        <v>18</v>
      </c>
      <c r="E62" s="23">
        <v>692.16</v>
      </c>
      <c r="F62" s="23">
        <v>6.87</v>
      </c>
      <c r="G62" s="23">
        <f t="shared" si="3"/>
        <v>100.75109170305676</v>
      </c>
      <c r="H62" s="15">
        <v>3</v>
      </c>
      <c r="I62" s="15">
        <v>4</v>
      </c>
      <c r="J62" s="15">
        <v>21</v>
      </c>
      <c r="K62" s="15">
        <v>22</v>
      </c>
      <c r="L62" s="15">
        <v>-21.08</v>
      </c>
      <c r="M62" s="15">
        <v>6.88</v>
      </c>
      <c r="N62" s="15">
        <f t="shared" si="4"/>
        <v>3.0639534883720927</v>
      </c>
      <c r="O62" s="15">
        <v>10</v>
      </c>
      <c r="P62" s="15">
        <f t="shared" si="11"/>
        <v>15</v>
      </c>
      <c r="Q62" s="15">
        <f t="shared" si="17"/>
        <v>20</v>
      </c>
      <c r="R62" s="15"/>
      <c r="S62" s="15"/>
    </row>
    <row r="63" spans="1:19" x14ac:dyDescent="0.15">
      <c r="A63" s="23">
        <v>9</v>
      </c>
      <c r="B63" s="17">
        <f t="shared" si="24"/>
        <v>13</v>
      </c>
      <c r="C63" s="23">
        <f t="shared" si="25"/>
        <v>17</v>
      </c>
      <c r="D63" s="23">
        <f>D62+3</f>
        <v>21</v>
      </c>
      <c r="E63" s="23">
        <v>587.91</v>
      </c>
      <c r="F63" s="23">
        <v>6.94</v>
      </c>
      <c r="G63" s="23">
        <f t="shared" si="3"/>
        <v>84.713256484149852</v>
      </c>
      <c r="H63" s="15">
        <v>3</v>
      </c>
      <c r="I63" s="15">
        <v>4</v>
      </c>
      <c r="J63" s="15">
        <v>22</v>
      </c>
      <c r="K63" s="15">
        <v>23</v>
      </c>
      <c r="L63" s="15">
        <v>-28</v>
      </c>
      <c r="M63" s="15">
        <v>6.28</v>
      </c>
      <c r="N63" s="15">
        <f t="shared" si="4"/>
        <v>4.4585987261146496</v>
      </c>
      <c r="O63" s="15">
        <v>10</v>
      </c>
      <c r="P63" s="15">
        <f t="shared" si="11"/>
        <v>16</v>
      </c>
      <c r="Q63" s="15">
        <f t="shared" si="17"/>
        <v>22</v>
      </c>
      <c r="R63" s="15"/>
      <c r="S63" s="15"/>
    </row>
    <row r="64" spans="1:19" x14ac:dyDescent="0.15">
      <c r="A64" s="23">
        <v>9</v>
      </c>
      <c r="B64" s="17">
        <f t="shared" si="24"/>
        <v>14</v>
      </c>
      <c r="C64" s="23">
        <f t="shared" si="25"/>
        <v>19</v>
      </c>
      <c r="D64" s="23">
        <f>D63+3</f>
        <v>24</v>
      </c>
      <c r="E64" s="23">
        <v>512.08000000000004</v>
      </c>
      <c r="F64" s="23">
        <v>7.31</v>
      </c>
      <c r="G64" s="23">
        <f t="shared" si="3"/>
        <v>70.051983584131335</v>
      </c>
      <c r="H64" s="15">
        <v>3</v>
      </c>
      <c r="I64" s="15">
        <v>4</v>
      </c>
      <c r="J64" s="15">
        <v>23</v>
      </c>
      <c r="K64" s="15">
        <v>24</v>
      </c>
      <c r="L64" s="15">
        <v>-49.7</v>
      </c>
      <c r="M64" s="15">
        <v>6.31</v>
      </c>
      <c r="N64" s="15">
        <f t="shared" si="4"/>
        <v>7.8763866877971482</v>
      </c>
      <c r="O64" s="15">
        <v>11</v>
      </c>
      <c r="P64" s="15">
        <v>12</v>
      </c>
      <c r="Q64" s="15">
        <v>13</v>
      </c>
      <c r="R64" s="15"/>
      <c r="S64" s="15"/>
    </row>
    <row r="65" spans="1:19" x14ac:dyDescent="0.15">
      <c r="A65" s="23">
        <v>9</v>
      </c>
      <c r="B65" s="17">
        <f t="shared" si="24"/>
        <v>15</v>
      </c>
      <c r="C65" s="23">
        <f t="shared" si="25"/>
        <v>21</v>
      </c>
      <c r="D65" s="23">
        <v>3</v>
      </c>
      <c r="E65" s="23">
        <v>414.49</v>
      </c>
      <c r="F65" s="23">
        <v>7.36</v>
      </c>
      <c r="G65" s="23">
        <f t="shared" si="3"/>
        <v>56.316576086956523</v>
      </c>
      <c r="H65" s="15">
        <v>3</v>
      </c>
      <c r="I65" s="15">
        <v>4</v>
      </c>
      <c r="J65" s="15">
        <v>24</v>
      </c>
      <c r="K65" s="15">
        <v>1</v>
      </c>
      <c r="L65" s="15">
        <v>-113.47</v>
      </c>
      <c r="M65" s="15">
        <v>5.36</v>
      </c>
      <c r="N65" s="15">
        <f t="shared" si="4"/>
        <v>21.169776119402982</v>
      </c>
      <c r="O65" s="15">
        <v>11</v>
      </c>
      <c r="P65" s="15">
        <f t="shared" si="11"/>
        <v>13</v>
      </c>
      <c r="Q65" s="15">
        <f t="shared" si="17"/>
        <v>15</v>
      </c>
      <c r="R65" s="15"/>
      <c r="S65" s="15"/>
    </row>
    <row r="66" spans="1:19" x14ac:dyDescent="0.15">
      <c r="A66" s="23">
        <v>9</v>
      </c>
      <c r="B66" s="17">
        <f t="shared" si="24"/>
        <v>16</v>
      </c>
      <c r="C66" s="23">
        <f t="shared" si="25"/>
        <v>23</v>
      </c>
      <c r="D66" s="23">
        <f>D65+3</f>
        <v>6</v>
      </c>
      <c r="E66" s="23">
        <v>237.64</v>
      </c>
      <c r="F66" s="23">
        <v>7.39</v>
      </c>
      <c r="G66" s="23">
        <f t="shared" si="3"/>
        <v>32.156968876860624</v>
      </c>
      <c r="H66" s="15">
        <v>3</v>
      </c>
      <c r="I66" s="15">
        <v>4</v>
      </c>
      <c r="J66" s="15">
        <v>1</v>
      </c>
      <c r="K66" s="15">
        <v>2</v>
      </c>
      <c r="L66" s="15">
        <v>-518.65</v>
      </c>
      <c r="M66" s="15">
        <v>5.45</v>
      </c>
      <c r="N66" s="15">
        <f t="shared" si="4"/>
        <v>95.165137614678898</v>
      </c>
      <c r="O66" s="15">
        <v>11</v>
      </c>
      <c r="P66" s="15">
        <f t="shared" si="11"/>
        <v>14</v>
      </c>
      <c r="Q66" s="15">
        <f t="shared" si="17"/>
        <v>17</v>
      </c>
      <c r="R66" s="15"/>
      <c r="S66" s="15"/>
    </row>
    <row r="67" spans="1:19" x14ac:dyDescent="0.15">
      <c r="A67" s="23">
        <v>10</v>
      </c>
      <c r="B67" s="17">
        <f>A67+1</f>
        <v>11</v>
      </c>
      <c r="C67" s="23">
        <f>B67+1</f>
        <v>12</v>
      </c>
      <c r="D67" s="23">
        <f>C67+1</f>
        <v>13</v>
      </c>
      <c r="E67" s="23">
        <v>1870.88</v>
      </c>
      <c r="F67" s="23">
        <v>8.31</v>
      </c>
      <c r="G67" s="23">
        <f t="shared" si="3"/>
        <v>225.13598074608905</v>
      </c>
      <c r="H67" s="15">
        <v>4</v>
      </c>
      <c r="I67" s="15">
        <v>5</v>
      </c>
      <c r="J67" s="15">
        <f>I67+1</f>
        <v>6</v>
      </c>
      <c r="K67" s="15">
        <f>J67+1</f>
        <v>7</v>
      </c>
      <c r="L67" s="15">
        <v>-494.26</v>
      </c>
      <c r="M67" s="15">
        <v>5.48</v>
      </c>
      <c r="N67" s="15">
        <f t="shared" si="4"/>
        <v>90.193430656934297</v>
      </c>
      <c r="O67" s="15">
        <v>11</v>
      </c>
      <c r="P67" s="15">
        <f t="shared" si="11"/>
        <v>15</v>
      </c>
      <c r="Q67" s="15">
        <f t="shared" si="17"/>
        <v>19</v>
      </c>
      <c r="R67" s="15"/>
      <c r="S67" s="15"/>
    </row>
    <row r="68" spans="1:19" x14ac:dyDescent="0.15">
      <c r="A68" s="23">
        <v>10</v>
      </c>
      <c r="B68" s="17">
        <f t="shared" ref="B68:B73" si="26">B67+1</f>
        <v>12</v>
      </c>
      <c r="C68" s="23">
        <f t="shared" ref="C68:C73" si="27">C67+2</f>
        <v>14</v>
      </c>
      <c r="D68" s="23">
        <f>D67+3</f>
        <v>16</v>
      </c>
      <c r="E68" s="23">
        <v>1015.7</v>
      </c>
      <c r="F68" s="23">
        <v>7.86</v>
      </c>
      <c r="G68" s="23">
        <f t="shared" si="3"/>
        <v>129.22391857506361</v>
      </c>
      <c r="H68" s="15">
        <v>4</v>
      </c>
      <c r="I68" s="15">
        <v>5</v>
      </c>
      <c r="J68" s="15">
        <f t="shared" ref="J68:K84" si="28">J67+1</f>
        <v>7</v>
      </c>
      <c r="K68" s="15">
        <f t="shared" si="28"/>
        <v>8</v>
      </c>
      <c r="L68" s="15">
        <v>-130.41999999999999</v>
      </c>
      <c r="M68" s="15">
        <v>5.48</v>
      </c>
      <c r="N68" s="15">
        <f t="shared" si="4"/>
        <v>23.799270072992698</v>
      </c>
      <c r="O68" s="15">
        <v>11</v>
      </c>
      <c r="P68" s="15">
        <f t="shared" si="11"/>
        <v>16</v>
      </c>
      <c r="Q68" s="15">
        <f t="shared" si="17"/>
        <v>21</v>
      </c>
      <c r="R68" s="15"/>
      <c r="S68" s="15"/>
    </row>
    <row r="69" spans="1:19" x14ac:dyDescent="0.15">
      <c r="A69" s="23">
        <v>10</v>
      </c>
      <c r="B69" s="17">
        <f t="shared" si="26"/>
        <v>13</v>
      </c>
      <c r="C69" s="23">
        <f t="shared" si="27"/>
        <v>16</v>
      </c>
      <c r="D69" s="23">
        <f>D68+3</f>
        <v>19</v>
      </c>
      <c r="E69" s="23">
        <v>813.73</v>
      </c>
      <c r="F69" s="23">
        <v>8.1199999999999992</v>
      </c>
      <c r="G69" s="23">
        <f t="shared" ref="G69:G132" si="29">E69/F69</f>
        <v>100.21305418719213</v>
      </c>
      <c r="H69" s="15">
        <v>4</v>
      </c>
      <c r="I69" s="15">
        <v>5</v>
      </c>
      <c r="J69" s="15">
        <f t="shared" si="28"/>
        <v>8</v>
      </c>
      <c r="K69" s="15">
        <f t="shared" si="28"/>
        <v>9</v>
      </c>
      <c r="L69" s="15">
        <v>-51.97</v>
      </c>
      <c r="M69" s="15">
        <v>5.4</v>
      </c>
      <c r="N69" s="15">
        <f t="shared" ref="N69:N132" si="30">-L69/M69</f>
        <v>9.6240740740740733</v>
      </c>
      <c r="O69" s="15">
        <v>11</v>
      </c>
      <c r="P69" s="15">
        <f t="shared" si="11"/>
        <v>17</v>
      </c>
      <c r="Q69" s="15">
        <f t="shared" si="17"/>
        <v>23</v>
      </c>
      <c r="R69" s="15"/>
      <c r="S69" s="15"/>
    </row>
    <row r="70" spans="1:19" x14ac:dyDescent="0.15">
      <c r="A70" s="23">
        <v>10</v>
      </c>
      <c r="B70" s="17">
        <f t="shared" si="26"/>
        <v>14</v>
      </c>
      <c r="C70" s="23">
        <f t="shared" si="27"/>
        <v>18</v>
      </c>
      <c r="D70" s="23">
        <f>D69+3</f>
        <v>22</v>
      </c>
      <c r="E70" s="23">
        <v>671.25</v>
      </c>
      <c r="F70" s="23">
        <v>7.86</v>
      </c>
      <c r="G70" s="23">
        <f t="shared" si="29"/>
        <v>85.400763358778619</v>
      </c>
      <c r="H70" s="15">
        <v>4</v>
      </c>
      <c r="I70" s="15">
        <v>5</v>
      </c>
      <c r="J70" s="15">
        <f t="shared" si="28"/>
        <v>9</v>
      </c>
      <c r="K70" s="15">
        <f t="shared" si="28"/>
        <v>10</v>
      </c>
      <c r="L70" s="15">
        <v>-20</v>
      </c>
      <c r="M70" s="15">
        <v>5.35</v>
      </c>
      <c r="N70" s="15">
        <f t="shared" si="30"/>
        <v>3.7383177570093462</v>
      </c>
      <c r="O70" s="15">
        <v>12</v>
      </c>
      <c r="P70" s="15">
        <v>13</v>
      </c>
      <c r="Q70" s="15">
        <v>14</v>
      </c>
      <c r="R70" s="15"/>
      <c r="S70" s="15"/>
    </row>
    <row r="71" spans="1:19" x14ac:dyDescent="0.15">
      <c r="A71" s="23">
        <v>10</v>
      </c>
      <c r="B71" s="17">
        <f t="shared" si="26"/>
        <v>15</v>
      </c>
      <c r="C71" s="23">
        <f t="shared" si="27"/>
        <v>20</v>
      </c>
      <c r="D71" s="23">
        <v>1</v>
      </c>
      <c r="E71" s="23">
        <v>574.51</v>
      </c>
      <c r="F71" s="23">
        <v>7.98</v>
      </c>
      <c r="G71" s="23">
        <f t="shared" si="29"/>
        <v>71.993734335839591</v>
      </c>
      <c r="H71" s="15">
        <v>4</v>
      </c>
      <c r="I71" s="15">
        <v>5</v>
      </c>
      <c r="J71" s="15">
        <f t="shared" si="28"/>
        <v>10</v>
      </c>
      <c r="K71" s="15">
        <f t="shared" si="28"/>
        <v>11</v>
      </c>
      <c r="L71" s="15">
        <v>-19.989999999999998</v>
      </c>
      <c r="M71" s="15">
        <v>5.29</v>
      </c>
      <c r="N71" s="15">
        <f t="shared" si="30"/>
        <v>3.7788279773156899</v>
      </c>
      <c r="O71" s="15">
        <v>12</v>
      </c>
      <c r="P71" s="15">
        <f t="shared" si="11"/>
        <v>14</v>
      </c>
      <c r="Q71" s="15">
        <f t="shared" si="17"/>
        <v>16</v>
      </c>
      <c r="R71" s="15"/>
      <c r="S71" s="15"/>
    </row>
    <row r="72" spans="1:19" x14ac:dyDescent="0.15">
      <c r="A72" s="23">
        <v>10</v>
      </c>
      <c r="B72" s="17">
        <f t="shared" si="26"/>
        <v>16</v>
      </c>
      <c r="C72" s="23">
        <f t="shared" si="27"/>
        <v>22</v>
      </c>
      <c r="D72" s="23">
        <f>D71+3</f>
        <v>4</v>
      </c>
      <c r="E72" s="23">
        <v>373.63</v>
      </c>
      <c r="F72" s="23">
        <v>7.01</v>
      </c>
      <c r="G72" s="23">
        <f t="shared" si="29"/>
        <v>53.299572039942937</v>
      </c>
      <c r="H72" s="15">
        <v>4</v>
      </c>
      <c r="I72" s="15">
        <v>5</v>
      </c>
      <c r="J72" s="15">
        <f t="shared" si="28"/>
        <v>11</v>
      </c>
      <c r="K72" s="15">
        <f t="shared" si="28"/>
        <v>12</v>
      </c>
      <c r="L72" s="15">
        <v>-12.56</v>
      </c>
      <c r="M72" s="15">
        <v>5.57</v>
      </c>
      <c r="N72" s="15">
        <f t="shared" si="30"/>
        <v>2.2549371633752244</v>
      </c>
      <c r="O72" s="15">
        <v>12</v>
      </c>
      <c r="P72" s="15">
        <f t="shared" si="11"/>
        <v>15</v>
      </c>
      <c r="Q72" s="15">
        <f t="shared" si="17"/>
        <v>18</v>
      </c>
      <c r="R72" s="15"/>
      <c r="S72" s="15"/>
    </row>
    <row r="73" spans="1:19" x14ac:dyDescent="0.15">
      <c r="A73" s="23">
        <v>10</v>
      </c>
      <c r="B73" s="17">
        <f t="shared" si="26"/>
        <v>17</v>
      </c>
      <c r="C73" s="23">
        <f t="shared" si="27"/>
        <v>24</v>
      </c>
      <c r="D73" s="23">
        <f>D72+3</f>
        <v>7</v>
      </c>
      <c r="E73" s="23">
        <v>233.29</v>
      </c>
      <c r="F73" s="23">
        <v>7.83</v>
      </c>
      <c r="G73" s="23">
        <f t="shared" si="29"/>
        <v>29.794380587484035</v>
      </c>
      <c r="H73" s="15">
        <v>4</v>
      </c>
      <c r="I73" s="15">
        <v>5</v>
      </c>
      <c r="J73" s="15">
        <f t="shared" si="28"/>
        <v>12</v>
      </c>
      <c r="K73" s="15">
        <f t="shared" si="28"/>
        <v>13</v>
      </c>
      <c r="L73" s="15">
        <v>-12.87</v>
      </c>
      <c r="M73" s="15">
        <v>5.53</v>
      </c>
      <c r="N73" s="15">
        <f t="shared" si="30"/>
        <v>2.3273056057866182</v>
      </c>
      <c r="O73" s="15">
        <v>12</v>
      </c>
      <c r="P73" s="15">
        <f t="shared" si="11"/>
        <v>16</v>
      </c>
      <c r="Q73" s="15">
        <f t="shared" si="17"/>
        <v>20</v>
      </c>
      <c r="R73" s="15"/>
      <c r="S73" s="15"/>
    </row>
    <row r="74" spans="1:19" x14ac:dyDescent="0.15">
      <c r="A74" s="23">
        <v>11</v>
      </c>
      <c r="B74" s="17">
        <f>A74+1</f>
        <v>12</v>
      </c>
      <c r="C74" s="23">
        <f>B74+1</f>
        <v>13</v>
      </c>
      <c r="D74" s="23">
        <f>C74+1</f>
        <v>14</v>
      </c>
      <c r="E74" s="23">
        <v>1299.3399999999999</v>
      </c>
      <c r="F74" s="23">
        <v>5.85</v>
      </c>
      <c r="G74" s="23">
        <f t="shared" si="29"/>
        <v>222.10940170940171</v>
      </c>
      <c r="H74" s="15">
        <v>4</v>
      </c>
      <c r="I74" s="15">
        <v>5</v>
      </c>
      <c r="J74" s="15">
        <f t="shared" si="28"/>
        <v>13</v>
      </c>
      <c r="K74" s="15">
        <f t="shared" si="28"/>
        <v>14</v>
      </c>
      <c r="L74" s="15">
        <v>-12.79</v>
      </c>
      <c r="M74" s="15">
        <v>5.55</v>
      </c>
      <c r="N74" s="15">
        <f t="shared" si="30"/>
        <v>2.3045045045045045</v>
      </c>
      <c r="O74" s="15">
        <v>12</v>
      </c>
      <c r="P74" s="15">
        <f t="shared" si="11"/>
        <v>17</v>
      </c>
      <c r="Q74" s="15">
        <f t="shared" si="17"/>
        <v>22</v>
      </c>
      <c r="R74" s="15"/>
      <c r="S74" s="15"/>
    </row>
    <row r="75" spans="1:19" x14ac:dyDescent="0.15">
      <c r="A75" s="23">
        <v>11</v>
      </c>
      <c r="B75" s="17">
        <f t="shared" ref="B75:B80" si="31">B74+1</f>
        <v>13</v>
      </c>
      <c r="C75" s="23">
        <f>C74+2</f>
        <v>15</v>
      </c>
      <c r="D75" s="23">
        <f>D74+3</f>
        <v>17</v>
      </c>
      <c r="E75" s="23">
        <v>822.01</v>
      </c>
      <c r="F75" s="23">
        <v>6.36</v>
      </c>
      <c r="G75" s="23">
        <f t="shared" si="29"/>
        <v>129.24685534591194</v>
      </c>
      <c r="H75" s="15">
        <v>4</v>
      </c>
      <c r="I75" s="15">
        <v>5</v>
      </c>
      <c r="J75" s="15">
        <f t="shared" si="28"/>
        <v>14</v>
      </c>
      <c r="K75" s="15">
        <f t="shared" si="28"/>
        <v>15</v>
      </c>
      <c r="L75" s="15">
        <v>-12.41</v>
      </c>
      <c r="M75" s="15">
        <v>5.33</v>
      </c>
      <c r="N75" s="15">
        <f t="shared" si="30"/>
        <v>2.328330206378987</v>
      </c>
      <c r="O75" s="15">
        <v>12</v>
      </c>
      <c r="P75" s="15">
        <f t="shared" si="11"/>
        <v>18</v>
      </c>
      <c r="Q75" s="15">
        <f t="shared" si="17"/>
        <v>24</v>
      </c>
      <c r="R75" s="15"/>
      <c r="S75" s="15"/>
    </row>
    <row r="76" spans="1:19" x14ac:dyDescent="0.15">
      <c r="A76" s="23">
        <v>11</v>
      </c>
      <c r="B76" s="17">
        <f t="shared" si="31"/>
        <v>14</v>
      </c>
      <c r="C76" s="23">
        <f>C75+2</f>
        <v>17</v>
      </c>
      <c r="D76" s="23">
        <f>D75+3</f>
        <v>20</v>
      </c>
      <c r="E76" s="23">
        <v>607.41</v>
      </c>
      <c r="F76" s="23">
        <v>6.21</v>
      </c>
      <c r="G76" s="23">
        <f t="shared" si="29"/>
        <v>97.811594202898547</v>
      </c>
      <c r="H76" s="15">
        <v>4</v>
      </c>
      <c r="I76" s="15">
        <v>5</v>
      </c>
      <c r="J76" s="15">
        <f t="shared" si="28"/>
        <v>15</v>
      </c>
      <c r="K76" s="15">
        <f t="shared" si="28"/>
        <v>16</v>
      </c>
      <c r="L76" s="15">
        <v>-9.67</v>
      </c>
      <c r="M76" s="15">
        <v>5.37</v>
      </c>
      <c r="N76" s="15">
        <f t="shared" si="30"/>
        <v>1.8007448789571694</v>
      </c>
      <c r="O76" s="15">
        <v>13</v>
      </c>
      <c r="P76" s="15">
        <v>14</v>
      </c>
      <c r="Q76" s="15">
        <v>15</v>
      </c>
      <c r="R76" s="15"/>
      <c r="S76" s="15"/>
    </row>
    <row r="77" spans="1:19" x14ac:dyDescent="0.15">
      <c r="A77" s="23">
        <v>11</v>
      </c>
      <c r="B77" s="17">
        <f t="shared" si="31"/>
        <v>15</v>
      </c>
      <c r="C77" s="23">
        <f>C76+2</f>
        <v>19</v>
      </c>
      <c r="D77" s="23">
        <f>D76+3</f>
        <v>23</v>
      </c>
      <c r="E77" s="23">
        <v>574.30999999999995</v>
      </c>
      <c r="F77" s="23">
        <v>6.64</v>
      </c>
      <c r="G77" s="23">
        <f t="shared" si="29"/>
        <v>86.492469879518069</v>
      </c>
      <c r="H77" s="15">
        <v>4</v>
      </c>
      <c r="I77" s="15">
        <v>5</v>
      </c>
      <c r="J77" s="15">
        <f t="shared" si="28"/>
        <v>16</v>
      </c>
      <c r="K77" s="15">
        <f t="shared" si="28"/>
        <v>17</v>
      </c>
      <c r="L77" s="15">
        <v>-12.8</v>
      </c>
      <c r="M77" s="15">
        <v>5.56</v>
      </c>
      <c r="N77" s="15">
        <f t="shared" si="30"/>
        <v>2.3021582733812953</v>
      </c>
      <c r="O77" s="15">
        <v>13</v>
      </c>
      <c r="P77" s="15">
        <f t="shared" si="11"/>
        <v>15</v>
      </c>
      <c r="Q77" s="15">
        <f t="shared" si="17"/>
        <v>17</v>
      </c>
      <c r="R77" s="15"/>
      <c r="S77" s="15"/>
    </row>
    <row r="78" spans="1:19" x14ac:dyDescent="0.15">
      <c r="A78" s="23">
        <v>11</v>
      </c>
      <c r="B78" s="17">
        <f t="shared" si="31"/>
        <v>16</v>
      </c>
      <c r="C78" s="23">
        <f>C77+2</f>
        <v>21</v>
      </c>
      <c r="D78" s="23">
        <v>2</v>
      </c>
      <c r="E78" s="23">
        <v>412.21</v>
      </c>
      <c r="F78" s="23">
        <v>5.83</v>
      </c>
      <c r="G78" s="23">
        <f t="shared" si="29"/>
        <v>70.704974271012006</v>
      </c>
      <c r="H78" s="15">
        <v>4</v>
      </c>
      <c r="I78" s="15">
        <v>5</v>
      </c>
      <c r="J78" s="15">
        <f t="shared" si="28"/>
        <v>17</v>
      </c>
      <c r="K78" s="15">
        <f t="shared" si="28"/>
        <v>18</v>
      </c>
      <c r="L78" s="15">
        <v>-9.8699999999999992</v>
      </c>
      <c r="M78" s="15">
        <v>6.36</v>
      </c>
      <c r="N78" s="15">
        <f t="shared" si="30"/>
        <v>1.5518867924528299</v>
      </c>
      <c r="O78" s="15">
        <v>13</v>
      </c>
      <c r="P78" s="15">
        <f t="shared" si="11"/>
        <v>16</v>
      </c>
      <c r="Q78" s="15">
        <f t="shared" si="17"/>
        <v>19</v>
      </c>
      <c r="R78" s="15"/>
      <c r="S78" s="15"/>
    </row>
    <row r="79" spans="1:19" x14ac:dyDescent="0.15">
      <c r="A79" s="23">
        <v>11</v>
      </c>
      <c r="B79" s="17">
        <f t="shared" si="31"/>
        <v>17</v>
      </c>
      <c r="C79" s="23">
        <f>C78+2</f>
        <v>23</v>
      </c>
      <c r="D79" s="23">
        <f>D78+3</f>
        <v>5</v>
      </c>
      <c r="E79" s="23">
        <v>461.53</v>
      </c>
      <c r="F79" s="23">
        <v>8.7799999999999994</v>
      </c>
      <c r="G79" s="23">
        <f t="shared" si="29"/>
        <v>52.566059225512532</v>
      </c>
      <c r="H79" s="15">
        <v>4</v>
      </c>
      <c r="I79" s="15">
        <v>5</v>
      </c>
      <c r="J79" s="15">
        <f t="shared" si="28"/>
        <v>18</v>
      </c>
      <c r="K79" s="15">
        <f t="shared" si="28"/>
        <v>19</v>
      </c>
      <c r="L79" s="15">
        <v>-11.04</v>
      </c>
      <c r="M79" s="15">
        <v>6.38</v>
      </c>
      <c r="N79" s="15">
        <f t="shared" si="30"/>
        <v>1.7304075235109717</v>
      </c>
      <c r="O79" s="15">
        <v>13</v>
      </c>
      <c r="P79" s="15">
        <f t="shared" si="11"/>
        <v>17</v>
      </c>
      <c r="Q79" s="15">
        <f t="shared" si="17"/>
        <v>21</v>
      </c>
      <c r="R79" s="15"/>
      <c r="S79" s="15"/>
    </row>
    <row r="80" spans="1:19" x14ac:dyDescent="0.15">
      <c r="A80" s="23">
        <v>11</v>
      </c>
      <c r="B80" s="17">
        <f t="shared" si="31"/>
        <v>18</v>
      </c>
      <c r="C80" s="23">
        <v>1</v>
      </c>
      <c r="D80" s="23">
        <f>D79+3</f>
        <v>8</v>
      </c>
      <c r="E80" s="23">
        <v>170.67</v>
      </c>
      <c r="F80" s="23">
        <v>5.78</v>
      </c>
      <c r="G80" s="23">
        <f t="shared" si="29"/>
        <v>29.527681660899649</v>
      </c>
      <c r="H80" s="15">
        <v>4</v>
      </c>
      <c r="I80" s="15">
        <v>5</v>
      </c>
      <c r="J80" s="15">
        <f t="shared" si="28"/>
        <v>19</v>
      </c>
      <c r="K80" s="15">
        <f t="shared" si="28"/>
        <v>20</v>
      </c>
      <c r="L80" s="15">
        <v>-10.88</v>
      </c>
      <c r="M80" s="15">
        <v>6.2</v>
      </c>
      <c r="N80" s="15">
        <f t="shared" si="30"/>
        <v>1.7548387096774194</v>
      </c>
      <c r="O80" s="15">
        <v>13</v>
      </c>
      <c r="P80" s="15">
        <f t="shared" si="11"/>
        <v>18</v>
      </c>
      <c r="Q80" s="15">
        <f t="shared" si="17"/>
        <v>23</v>
      </c>
      <c r="R80" s="15"/>
      <c r="S80" s="15"/>
    </row>
    <row r="81" spans="1:19" x14ac:dyDescent="0.15">
      <c r="A81" s="23">
        <v>12</v>
      </c>
      <c r="B81" s="17">
        <f>A81+1</f>
        <v>13</v>
      </c>
      <c r="C81" s="23">
        <f>B81+1</f>
        <v>14</v>
      </c>
      <c r="D81" s="23">
        <f>C81+1</f>
        <v>15</v>
      </c>
      <c r="E81" s="23">
        <v>2096.2199999999998</v>
      </c>
      <c r="F81" s="23">
        <v>8.64</v>
      </c>
      <c r="G81" s="23">
        <f t="shared" si="29"/>
        <v>242.61805555555551</v>
      </c>
      <c r="H81" s="15">
        <v>4</v>
      </c>
      <c r="I81" s="15">
        <v>5</v>
      </c>
      <c r="J81" s="15">
        <f t="shared" si="28"/>
        <v>20</v>
      </c>
      <c r="K81" s="15">
        <f t="shared" si="28"/>
        <v>21</v>
      </c>
      <c r="L81" s="15">
        <v>-13.44</v>
      </c>
      <c r="M81" s="15">
        <v>6.36</v>
      </c>
      <c r="N81" s="15">
        <f t="shared" si="30"/>
        <v>2.1132075471698113</v>
      </c>
      <c r="O81" s="15">
        <v>13</v>
      </c>
      <c r="P81" s="15">
        <f t="shared" si="11"/>
        <v>19</v>
      </c>
      <c r="Q81" s="15">
        <v>1</v>
      </c>
      <c r="R81" s="15"/>
      <c r="S81" s="15"/>
    </row>
    <row r="82" spans="1:19" x14ac:dyDescent="0.15">
      <c r="A82" s="23">
        <v>12</v>
      </c>
      <c r="B82" s="17">
        <f t="shared" ref="B82:B87" si="32">B81+1</f>
        <v>14</v>
      </c>
      <c r="C82" s="23">
        <f>C81+2</f>
        <v>16</v>
      </c>
      <c r="D82" s="23">
        <f>D81+3</f>
        <v>18</v>
      </c>
      <c r="E82" s="23">
        <v>852.13</v>
      </c>
      <c r="F82" s="23">
        <v>6.59</v>
      </c>
      <c r="G82" s="23">
        <f t="shared" si="29"/>
        <v>129.30652503793627</v>
      </c>
      <c r="H82" s="15">
        <v>4</v>
      </c>
      <c r="I82" s="15">
        <v>5</v>
      </c>
      <c r="J82" s="15">
        <f t="shared" si="28"/>
        <v>21</v>
      </c>
      <c r="K82" s="15">
        <f t="shared" si="28"/>
        <v>22</v>
      </c>
      <c r="L82" s="15">
        <v>-15.12</v>
      </c>
      <c r="M82" s="15">
        <v>6.34</v>
      </c>
      <c r="N82" s="15">
        <f t="shared" si="30"/>
        <v>2.3848580441640377</v>
      </c>
      <c r="O82" s="15">
        <v>14</v>
      </c>
      <c r="P82" s="15">
        <v>15</v>
      </c>
      <c r="Q82" s="15">
        <v>16</v>
      </c>
      <c r="R82" s="15"/>
      <c r="S82" s="15"/>
    </row>
    <row r="83" spans="1:19" x14ac:dyDescent="0.15">
      <c r="A83" s="23">
        <v>12</v>
      </c>
      <c r="B83" s="17">
        <f t="shared" si="32"/>
        <v>15</v>
      </c>
      <c r="C83" s="23">
        <f>C82+2</f>
        <v>18</v>
      </c>
      <c r="D83" s="23">
        <f>D82+3</f>
        <v>21</v>
      </c>
      <c r="E83" s="23">
        <v>698.31</v>
      </c>
      <c r="F83" s="23">
        <v>6.83</v>
      </c>
      <c r="G83" s="23">
        <f t="shared" si="29"/>
        <v>102.24158125915079</v>
      </c>
      <c r="H83" s="15">
        <v>4</v>
      </c>
      <c r="I83" s="15">
        <v>5</v>
      </c>
      <c r="J83" s="15">
        <f t="shared" si="28"/>
        <v>22</v>
      </c>
      <c r="K83" s="15">
        <f t="shared" si="28"/>
        <v>23</v>
      </c>
      <c r="L83" s="15">
        <v>-20.52</v>
      </c>
      <c r="M83" s="15">
        <v>6.35</v>
      </c>
      <c r="N83" s="15">
        <f t="shared" si="30"/>
        <v>3.2314960629921261</v>
      </c>
      <c r="O83" s="15">
        <v>14</v>
      </c>
      <c r="P83" s="15">
        <f t="shared" si="11"/>
        <v>16</v>
      </c>
      <c r="Q83" s="15">
        <f t="shared" si="17"/>
        <v>18</v>
      </c>
      <c r="R83" s="15"/>
      <c r="S83" s="15"/>
    </row>
    <row r="84" spans="1:19" x14ac:dyDescent="0.15">
      <c r="A84" s="23">
        <v>12</v>
      </c>
      <c r="B84" s="17">
        <f t="shared" si="32"/>
        <v>16</v>
      </c>
      <c r="C84" s="23">
        <f>C83+2</f>
        <v>20</v>
      </c>
      <c r="D84" s="23">
        <f>D83+3</f>
        <v>24</v>
      </c>
      <c r="E84" s="23">
        <v>603.16999999999996</v>
      </c>
      <c r="F84" s="23">
        <v>6.97</v>
      </c>
      <c r="G84" s="23">
        <f t="shared" si="29"/>
        <v>86.538020086083208</v>
      </c>
      <c r="H84" s="15">
        <v>4</v>
      </c>
      <c r="I84" s="15">
        <v>5</v>
      </c>
      <c r="J84" s="15">
        <f t="shared" si="28"/>
        <v>23</v>
      </c>
      <c r="K84" s="15">
        <f t="shared" si="28"/>
        <v>24</v>
      </c>
      <c r="L84" s="15">
        <v>-29.25</v>
      </c>
      <c r="M84" s="15">
        <v>6.24</v>
      </c>
      <c r="N84" s="15">
        <f t="shared" si="30"/>
        <v>4.6875</v>
      </c>
      <c r="O84" s="15">
        <v>14</v>
      </c>
      <c r="P84" s="15">
        <f t="shared" si="11"/>
        <v>17</v>
      </c>
      <c r="Q84" s="15">
        <f t="shared" si="17"/>
        <v>20</v>
      </c>
      <c r="R84" s="15"/>
      <c r="S84" s="15"/>
    </row>
    <row r="85" spans="1:19" x14ac:dyDescent="0.15">
      <c r="A85" s="23">
        <v>12</v>
      </c>
      <c r="B85" s="17">
        <f t="shared" si="32"/>
        <v>17</v>
      </c>
      <c r="C85" s="23">
        <f>C84+2</f>
        <v>22</v>
      </c>
      <c r="D85" s="23">
        <v>3</v>
      </c>
      <c r="E85" s="23">
        <v>508.09</v>
      </c>
      <c r="F85" s="23">
        <v>7.02</v>
      </c>
      <c r="G85" s="23">
        <f t="shared" si="29"/>
        <v>72.377492877492884</v>
      </c>
      <c r="H85" s="15">
        <v>4</v>
      </c>
      <c r="I85" s="15">
        <v>5</v>
      </c>
      <c r="J85" s="15">
        <f>J84+1</f>
        <v>24</v>
      </c>
      <c r="K85" s="15">
        <v>1</v>
      </c>
      <c r="L85" s="15">
        <v>-50.55</v>
      </c>
      <c r="M85" s="15">
        <v>5.46</v>
      </c>
      <c r="N85" s="15">
        <f t="shared" si="30"/>
        <v>9.2582417582417573</v>
      </c>
      <c r="O85" s="15">
        <v>14</v>
      </c>
      <c r="P85" s="15">
        <f t="shared" si="11"/>
        <v>18</v>
      </c>
      <c r="Q85" s="15">
        <f t="shared" si="17"/>
        <v>22</v>
      </c>
      <c r="R85" s="15"/>
      <c r="S85" s="15"/>
    </row>
    <row r="86" spans="1:19" x14ac:dyDescent="0.15">
      <c r="A86" s="23">
        <v>12</v>
      </c>
      <c r="B86" s="17">
        <f t="shared" si="32"/>
        <v>18</v>
      </c>
      <c r="C86" s="23">
        <f>C85+2</f>
        <v>24</v>
      </c>
      <c r="D86" s="23">
        <f>D85+3</f>
        <v>6</v>
      </c>
      <c r="E86" s="23">
        <v>375.58</v>
      </c>
      <c r="F86" s="23">
        <v>7.02</v>
      </c>
      <c r="G86" s="23">
        <f t="shared" si="29"/>
        <v>53.501424501424502</v>
      </c>
      <c r="H86" s="15">
        <v>4</v>
      </c>
      <c r="I86" s="15">
        <v>5</v>
      </c>
      <c r="J86" s="15">
        <v>1</v>
      </c>
      <c r="K86" s="15">
        <f>K85+1</f>
        <v>2</v>
      </c>
      <c r="L86" s="15">
        <v>-133.79</v>
      </c>
      <c r="M86" s="15">
        <v>5.46</v>
      </c>
      <c r="N86" s="15">
        <f t="shared" si="30"/>
        <v>24.503663003663004</v>
      </c>
      <c r="O86" s="15">
        <v>14</v>
      </c>
      <c r="P86" s="15">
        <f t="shared" si="11"/>
        <v>19</v>
      </c>
      <c r="Q86" s="15">
        <f t="shared" si="17"/>
        <v>24</v>
      </c>
      <c r="R86" s="15"/>
      <c r="S86" s="15"/>
    </row>
    <row r="87" spans="1:19" x14ac:dyDescent="0.15">
      <c r="A87" s="23">
        <v>12</v>
      </c>
      <c r="B87" s="17">
        <f t="shared" si="32"/>
        <v>19</v>
      </c>
      <c r="C87" s="23">
        <v>2</v>
      </c>
      <c r="D87" s="23">
        <f>D86+3</f>
        <v>9</v>
      </c>
      <c r="E87" s="23">
        <v>232.05</v>
      </c>
      <c r="F87" s="23">
        <v>7.83</v>
      </c>
      <c r="G87" s="23">
        <f t="shared" si="29"/>
        <v>29.636015325670499</v>
      </c>
      <c r="H87" s="15">
        <v>4</v>
      </c>
      <c r="I87" s="15">
        <v>5</v>
      </c>
      <c r="J87" s="15">
        <f>J86+1</f>
        <v>2</v>
      </c>
      <c r="K87" s="15">
        <f>K86+1</f>
        <v>3</v>
      </c>
      <c r="L87" s="15">
        <v>-505.76</v>
      </c>
      <c r="M87" s="15">
        <v>5.52</v>
      </c>
      <c r="N87" s="15">
        <f t="shared" si="30"/>
        <v>91.623188405797109</v>
      </c>
      <c r="O87" s="15">
        <v>14</v>
      </c>
      <c r="P87" s="15">
        <f t="shared" si="11"/>
        <v>20</v>
      </c>
      <c r="Q87" s="15">
        <v>2</v>
      </c>
      <c r="R87" s="15"/>
      <c r="S87" s="15"/>
    </row>
    <row r="88" spans="1:19" x14ac:dyDescent="0.15">
      <c r="A88" s="23">
        <v>13</v>
      </c>
      <c r="B88" s="17">
        <f>A88+1</f>
        <v>14</v>
      </c>
      <c r="C88" s="23">
        <f>B88+1</f>
        <v>15</v>
      </c>
      <c r="D88" s="23">
        <f>C88+1</f>
        <v>16</v>
      </c>
      <c r="E88" s="23">
        <v>1773.13</v>
      </c>
      <c r="F88" s="23">
        <v>7.99</v>
      </c>
      <c r="G88" s="23">
        <f t="shared" si="29"/>
        <v>221.91864831038799</v>
      </c>
      <c r="H88" s="15">
        <v>5</v>
      </c>
      <c r="I88" s="15">
        <v>6</v>
      </c>
      <c r="J88" s="15">
        <f>I88+1</f>
        <v>7</v>
      </c>
      <c r="K88" s="15">
        <f>J88+1</f>
        <v>8</v>
      </c>
      <c r="L88" s="15">
        <v>-535.01</v>
      </c>
      <c r="M88" s="15">
        <v>6.68</v>
      </c>
      <c r="N88" s="15">
        <f t="shared" si="30"/>
        <v>80.091317365269461</v>
      </c>
      <c r="O88" s="15">
        <v>15</v>
      </c>
      <c r="P88" s="15">
        <v>16</v>
      </c>
      <c r="Q88" s="15">
        <v>17</v>
      </c>
      <c r="R88" s="15"/>
      <c r="S88" s="15"/>
    </row>
    <row r="89" spans="1:19" x14ac:dyDescent="0.15">
      <c r="A89" s="23">
        <v>13</v>
      </c>
      <c r="B89" s="17">
        <f t="shared" ref="B89:B94" si="33">B88+1</f>
        <v>15</v>
      </c>
      <c r="C89" s="23">
        <f>C88+2</f>
        <v>17</v>
      </c>
      <c r="D89" s="23">
        <f>D88+3</f>
        <v>19</v>
      </c>
      <c r="E89" s="23">
        <v>1124.1500000000001</v>
      </c>
      <c r="F89" s="23">
        <v>8.59</v>
      </c>
      <c r="G89" s="23">
        <f t="shared" si="29"/>
        <v>130.86728754365544</v>
      </c>
      <c r="H89" s="15">
        <v>5</v>
      </c>
      <c r="I89" s="15">
        <v>6</v>
      </c>
      <c r="J89" s="15">
        <f t="shared" ref="J89:K104" si="34">J88+1</f>
        <v>8</v>
      </c>
      <c r="K89" s="15">
        <f t="shared" si="34"/>
        <v>9</v>
      </c>
      <c r="L89" s="15">
        <v>-133.22999999999999</v>
      </c>
      <c r="M89" s="15">
        <v>6.23</v>
      </c>
      <c r="N89" s="15">
        <f t="shared" si="30"/>
        <v>21.385232744783302</v>
      </c>
      <c r="O89" s="15">
        <v>15</v>
      </c>
      <c r="P89" s="15">
        <f t="shared" ref="P89:P147" si="35">P88+1</f>
        <v>17</v>
      </c>
      <c r="Q89" s="15">
        <f t="shared" si="17"/>
        <v>19</v>
      </c>
      <c r="R89" s="15"/>
      <c r="S89" s="15"/>
    </row>
    <row r="90" spans="1:19" x14ac:dyDescent="0.15">
      <c r="A90" s="23">
        <v>13</v>
      </c>
      <c r="B90" s="17">
        <f t="shared" si="33"/>
        <v>16</v>
      </c>
      <c r="C90" s="23">
        <f>C89+2</f>
        <v>19</v>
      </c>
      <c r="D90" s="23">
        <f>D89+3</f>
        <v>22</v>
      </c>
      <c r="E90" s="23">
        <v>895.57</v>
      </c>
      <c r="F90" s="23">
        <v>8.59</v>
      </c>
      <c r="G90" s="23">
        <f t="shared" si="29"/>
        <v>104.25727590221189</v>
      </c>
      <c r="H90" s="15">
        <v>5</v>
      </c>
      <c r="I90" s="15">
        <v>6</v>
      </c>
      <c r="J90" s="15">
        <f t="shared" si="34"/>
        <v>9</v>
      </c>
      <c r="K90" s="15">
        <f t="shared" si="34"/>
        <v>10</v>
      </c>
      <c r="L90" s="15">
        <v>-55.73</v>
      </c>
      <c r="M90" s="15">
        <v>6.65</v>
      </c>
      <c r="N90" s="15">
        <f t="shared" si="30"/>
        <v>8.3804511278195477</v>
      </c>
      <c r="O90" s="15">
        <v>15</v>
      </c>
      <c r="P90" s="15">
        <f t="shared" si="35"/>
        <v>18</v>
      </c>
      <c r="Q90" s="15">
        <f t="shared" si="17"/>
        <v>21</v>
      </c>
      <c r="R90" s="15"/>
      <c r="S90" s="15"/>
    </row>
    <row r="91" spans="1:19" x14ac:dyDescent="0.15">
      <c r="A91" s="23">
        <v>13</v>
      </c>
      <c r="B91" s="17">
        <f t="shared" si="33"/>
        <v>17</v>
      </c>
      <c r="C91" s="23">
        <f>C90+2</f>
        <v>21</v>
      </c>
      <c r="D91" s="23">
        <v>1</v>
      </c>
      <c r="E91" s="23">
        <v>796.68</v>
      </c>
      <c r="F91" s="23">
        <v>9.2100000000000009</v>
      </c>
      <c r="G91" s="23">
        <f t="shared" si="29"/>
        <v>86.501628664495101</v>
      </c>
      <c r="H91" s="15">
        <v>5</v>
      </c>
      <c r="I91" s="15">
        <v>6</v>
      </c>
      <c r="J91" s="15">
        <f t="shared" si="34"/>
        <v>10</v>
      </c>
      <c r="K91" s="15">
        <f t="shared" si="34"/>
        <v>11</v>
      </c>
      <c r="L91" s="15">
        <v>-30.5</v>
      </c>
      <c r="M91" s="15">
        <v>6.58</v>
      </c>
      <c r="N91" s="15">
        <f t="shared" si="30"/>
        <v>4.6352583586626137</v>
      </c>
      <c r="O91" s="15">
        <v>15</v>
      </c>
      <c r="P91" s="15">
        <f t="shared" si="35"/>
        <v>19</v>
      </c>
      <c r="Q91" s="15">
        <f t="shared" si="17"/>
        <v>23</v>
      </c>
      <c r="R91" s="15"/>
      <c r="S91" s="15"/>
    </row>
    <row r="92" spans="1:19" x14ac:dyDescent="0.15">
      <c r="A92" s="23">
        <v>13</v>
      </c>
      <c r="B92" s="17">
        <f t="shared" si="33"/>
        <v>18</v>
      </c>
      <c r="C92" s="23">
        <f>C91+2</f>
        <v>23</v>
      </c>
      <c r="D92" s="23">
        <f>D91+3</f>
        <v>4</v>
      </c>
      <c r="E92" s="23">
        <v>506.44</v>
      </c>
      <c r="F92" s="23">
        <v>7.09</v>
      </c>
      <c r="G92" s="23">
        <f t="shared" si="29"/>
        <v>71.430183356840615</v>
      </c>
      <c r="H92" s="15">
        <v>5</v>
      </c>
      <c r="I92" s="15">
        <v>6</v>
      </c>
      <c r="J92" s="15">
        <f t="shared" si="34"/>
        <v>11</v>
      </c>
      <c r="K92" s="15">
        <f t="shared" si="34"/>
        <v>12</v>
      </c>
      <c r="L92" s="15">
        <v>-22.04</v>
      </c>
      <c r="M92" s="15">
        <v>6.72</v>
      </c>
      <c r="N92" s="15">
        <f t="shared" si="30"/>
        <v>3.2797619047619047</v>
      </c>
      <c r="O92" s="15">
        <v>15</v>
      </c>
      <c r="P92" s="15">
        <f t="shared" si="35"/>
        <v>20</v>
      </c>
      <c r="Q92" s="15">
        <v>1</v>
      </c>
      <c r="R92" s="15"/>
      <c r="S92" s="15"/>
    </row>
    <row r="93" spans="1:19" x14ac:dyDescent="0.15">
      <c r="A93" s="23">
        <v>13</v>
      </c>
      <c r="B93" s="17">
        <f t="shared" si="33"/>
        <v>19</v>
      </c>
      <c r="C93" s="23">
        <v>1</v>
      </c>
      <c r="D93" s="23">
        <f>D92+3</f>
        <v>7</v>
      </c>
      <c r="E93" s="23">
        <v>394.09</v>
      </c>
      <c r="F93" s="23">
        <v>7.54</v>
      </c>
      <c r="G93" s="23">
        <f t="shared" si="29"/>
        <v>52.266578249336867</v>
      </c>
      <c r="H93" s="15">
        <v>5</v>
      </c>
      <c r="I93" s="15">
        <v>6</v>
      </c>
      <c r="J93" s="15">
        <f t="shared" si="34"/>
        <v>12</v>
      </c>
      <c r="K93" s="15">
        <f t="shared" si="34"/>
        <v>13</v>
      </c>
      <c r="L93" s="15">
        <v>-16.64</v>
      </c>
      <c r="M93" s="15">
        <v>6.69</v>
      </c>
      <c r="N93" s="15">
        <f t="shared" si="30"/>
        <v>2.4872944693572494</v>
      </c>
      <c r="O93" s="15">
        <v>15</v>
      </c>
      <c r="P93" s="15">
        <f t="shared" si="35"/>
        <v>21</v>
      </c>
      <c r="Q93" s="15">
        <f t="shared" si="17"/>
        <v>3</v>
      </c>
      <c r="R93" s="15"/>
      <c r="S93" s="15"/>
    </row>
    <row r="94" spans="1:19" x14ac:dyDescent="0.15">
      <c r="A94" s="23">
        <v>13</v>
      </c>
      <c r="B94" s="17">
        <f t="shared" si="33"/>
        <v>20</v>
      </c>
      <c r="C94" s="23">
        <f>C93+2</f>
        <v>3</v>
      </c>
      <c r="D94" s="23">
        <f>D93+3</f>
        <v>10</v>
      </c>
      <c r="E94" s="23">
        <v>241.58</v>
      </c>
      <c r="F94" s="23">
        <v>8.64</v>
      </c>
      <c r="G94" s="23">
        <f t="shared" si="29"/>
        <v>27.960648148148149</v>
      </c>
      <c r="H94" s="15">
        <v>5</v>
      </c>
      <c r="I94" s="15">
        <v>6</v>
      </c>
      <c r="J94" s="15">
        <f t="shared" si="34"/>
        <v>13</v>
      </c>
      <c r="K94" s="15">
        <f t="shared" si="34"/>
        <v>14</v>
      </c>
      <c r="L94" s="15">
        <v>-16.13</v>
      </c>
      <c r="M94" s="15">
        <v>6.75</v>
      </c>
      <c r="N94" s="15">
        <f t="shared" si="30"/>
        <v>2.3896296296296295</v>
      </c>
      <c r="O94" s="15">
        <v>16</v>
      </c>
      <c r="P94" s="15">
        <v>17</v>
      </c>
      <c r="Q94" s="15">
        <v>18</v>
      </c>
      <c r="R94" s="15"/>
      <c r="S94" s="15"/>
    </row>
    <row r="95" spans="1:19" x14ac:dyDescent="0.15">
      <c r="A95" s="23">
        <v>14</v>
      </c>
      <c r="B95" s="17">
        <f>A95+1</f>
        <v>15</v>
      </c>
      <c r="C95" s="23">
        <f>B95+1</f>
        <v>16</v>
      </c>
      <c r="D95" s="23">
        <f>C95+1</f>
        <v>17</v>
      </c>
      <c r="E95" s="23">
        <v>1768.37</v>
      </c>
      <c r="F95" s="23">
        <v>7.2</v>
      </c>
      <c r="G95" s="23">
        <f t="shared" si="29"/>
        <v>245.60694444444442</v>
      </c>
      <c r="H95" s="15">
        <v>5</v>
      </c>
      <c r="I95" s="15">
        <v>6</v>
      </c>
      <c r="J95" s="15">
        <f t="shared" si="34"/>
        <v>14</v>
      </c>
      <c r="K95" s="15">
        <f t="shared" si="34"/>
        <v>15</v>
      </c>
      <c r="L95" s="15">
        <v>-13.82</v>
      </c>
      <c r="M95" s="15">
        <v>6.75</v>
      </c>
      <c r="N95" s="15">
        <f t="shared" si="30"/>
        <v>2.0474074074074076</v>
      </c>
      <c r="O95" s="15">
        <v>16</v>
      </c>
      <c r="P95" s="15">
        <f t="shared" si="35"/>
        <v>18</v>
      </c>
      <c r="Q95" s="15">
        <f t="shared" si="17"/>
        <v>20</v>
      </c>
      <c r="R95" s="15"/>
      <c r="S95" s="15"/>
    </row>
    <row r="96" spans="1:19" x14ac:dyDescent="0.15">
      <c r="A96" s="23">
        <v>14</v>
      </c>
      <c r="B96" s="17">
        <f t="shared" ref="B96:B101" si="36">B95+1</f>
        <v>16</v>
      </c>
      <c r="C96" s="23">
        <f>C95+2</f>
        <v>18</v>
      </c>
      <c r="D96" s="23">
        <f>D95+3</f>
        <v>20</v>
      </c>
      <c r="E96" s="23">
        <v>925.54</v>
      </c>
      <c r="F96" s="23">
        <v>7.12</v>
      </c>
      <c r="G96" s="23">
        <f t="shared" si="29"/>
        <v>129.99157303370785</v>
      </c>
      <c r="H96" s="15">
        <v>5</v>
      </c>
      <c r="I96" s="15">
        <v>6</v>
      </c>
      <c r="J96" s="15">
        <f t="shared" si="34"/>
        <v>15</v>
      </c>
      <c r="K96" s="15">
        <f t="shared" si="34"/>
        <v>16</v>
      </c>
      <c r="L96" s="15">
        <v>-11.54</v>
      </c>
      <c r="M96" s="15">
        <v>6.64</v>
      </c>
      <c r="N96" s="15">
        <f t="shared" si="30"/>
        <v>1.7379518072289155</v>
      </c>
      <c r="O96" s="15">
        <v>16</v>
      </c>
      <c r="P96" s="15">
        <f t="shared" si="35"/>
        <v>19</v>
      </c>
      <c r="Q96" s="15">
        <f t="shared" si="17"/>
        <v>22</v>
      </c>
      <c r="R96" s="15"/>
      <c r="S96" s="15"/>
    </row>
    <row r="97" spans="1:19" x14ac:dyDescent="0.15">
      <c r="A97" s="23">
        <v>14</v>
      </c>
      <c r="B97" s="17">
        <f t="shared" si="36"/>
        <v>17</v>
      </c>
      <c r="C97" s="23">
        <f>C96+2</f>
        <v>20</v>
      </c>
      <c r="D97" s="23">
        <f>D96+3</f>
        <v>23</v>
      </c>
      <c r="E97" s="23">
        <v>785.28</v>
      </c>
      <c r="F97" s="23">
        <v>7.57</v>
      </c>
      <c r="G97" s="23">
        <f t="shared" si="29"/>
        <v>103.73579920739762</v>
      </c>
      <c r="H97" s="15">
        <v>5</v>
      </c>
      <c r="I97" s="15">
        <v>6</v>
      </c>
      <c r="J97" s="15">
        <f t="shared" si="34"/>
        <v>16</v>
      </c>
      <c r="K97" s="15">
        <f t="shared" si="34"/>
        <v>17</v>
      </c>
      <c r="L97" s="15">
        <v>-13.7</v>
      </c>
      <c r="M97" s="15">
        <v>6.83</v>
      </c>
      <c r="N97" s="15">
        <f t="shared" si="30"/>
        <v>2.0058565153733525</v>
      </c>
      <c r="O97" s="15">
        <v>16</v>
      </c>
      <c r="P97" s="15">
        <f t="shared" si="35"/>
        <v>20</v>
      </c>
      <c r="Q97" s="15">
        <f t="shared" si="17"/>
        <v>24</v>
      </c>
      <c r="R97" s="15"/>
      <c r="S97" s="15"/>
    </row>
    <row r="98" spans="1:19" x14ac:dyDescent="0.15">
      <c r="A98" s="23">
        <v>14</v>
      </c>
      <c r="B98" s="17">
        <f t="shared" si="36"/>
        <v>18</v>
      </c>
      <c r="C98" s="23">
        <f>C97+2</f>
        <v>22</v>
      </c>
      <c r="D98" s="23">
        <v>2</v>
      </c>
      <c r="E98" s="23">
        <v>553.82000000000005</v>
      </c>
      <c r="F98" s="23">
        <v>6.56</v>
      </c>
      <c r="G98" s="23">
        <f t="shared" si="29"/>
        <v>84.423780487804891</v>
      </c>
      <c r="H98" s="15">
        <v>5</v>
      </c>
      <c r="I98" s="15">
        <v>6</v>
      </c>
      <c r="J98" s="15">
        <f t="shared" si="34"/>
        <v>17</v>
      </c>
      <c r="K98" s="15">
        <f t="shared" si="34"/>
        <v>18</v>
      </c>
      <c r="L98" s="15">
        <v>-11.29</v>
      </c>
      <c r="M98" s="15">
        <v>7.62</v>
      </c>
      <c r="N98" s="15">
        <f t="shared" si="30"/>
        <v>1.4816272965879265</v>
      </c>
      <c r="O98" s="15">
        <v>16</v>
      </c>
      <c r="P98" s="15">
        <f t="shared" si="35"/>
        <v>21</v>
      </c>
      <c r="Q98" s="15">
        <v>2</v>
      </c>
      <c r="R98" s="15"/>
      <c r="S98" s="15"/>
    </row>
    <row r="99" spans="1:19" x14ac:dyDescent="0.15">
      <c r="A99" s="23">
        <v>14</v>
      </c>
      <c r="B99" s="17">
        <f t="shared" si="36"/>
        <v>19</v>
      </c>
      <c r="C99" s="23">
        <f>C98+2</f>
        <v>24</v>
      </c>
      <c r="D99" s="23">
        <f>D98+3</f>
        <v>5</v>
      </c>
      <c r="E99" s="22">
        <v>502.37</v>
      </c>
      <c r="F99" s="22">
        <v>7.53</v>
      </c>
      <c r="G99" s="23">
        <f t="shared" si="29"/>
        <v>66.715803452855241</v>
      </c>
      <c r="H99" s="15">
        <v>5</v>
      </c>
      <c r="I99" s="15">
        <v>6</v>
      </c>
      <c r="J99" s="15">
        <f t="shared" si="34"/>
        <v>18</v>
      </c>
      <c r="K99" s="15">
        <f t="shared" si="34"/>
        <v>19</v>
      </c>
      <c r="L99" s="15">
        <v>-10.56</v>
      </c>
      <c r="M99" s="15">
        <v>7.37</v>
      </c>
      <c r="N99" s="15">
        <f t="shared" si="30"/>
        <v>1.4328358208955225</v>
      </c>
      <c r="O99" s="15">
        <v>16</v>
      </c>
      <c r="P99" s="15">
        <f t="shared" si="35"/>
        <v>22</v>
      </c>
      <c r="Q99" s="15">
        <f t="shared" ref="Q99:Q147" si="37">Q98+2</f>
        <v>4</v>
      </c>
      <c r="R99" s="15"/>
      <c r="S99" s="15"/>
    </row>
    <row r="100" spans="1:19" x14ac:dyDescent="0.15">
      <c r="A100" s="23">
        <v>14</v>
      </c>
      <c r="B100" s="17">
        <f t="shared" si="36"/>
        <v>20</v>
      </c>
      <c r="C100" s="23">
        <v>2</v>
      </c>
      <c r="D100" s="23">
        <f>D99+3</f>
        <v>8</v>
      </c>
      <c r="E100" s="23">
        <v>341.73</v>
      </c>
      <c r="F100" s="23">
        <v>6.59</v>
      </c>
      <c r="G100" s="23">
        <f t="shared" si="29"/>
        <v>51.855842185128985</v>
      </c>
      <c r="H100" s="15">
        <v>5</v>
      </c>
      <c r="I100" s="15">
        <v>6</v>
      </c>
      <c r="J100" s="15">
        <f t="shared" si="34"/>
        <v>19</v>
      </c>
      <c r="K100" s="15">
        <f t="shared" si="34"/>
        <v>20</v>
      </c>
      <c r="L100" s="15">
        <v>-11.1</v>
      </c>
      <c r="M100" s="15">
        <v>7.48</v>
      </c>
      <c r="N100" s="15">
        <f t="shared" si="30"/>
        <v>1.4839572192513368</v>
      </c>
      <c r="O100" s="15">
        <v>17</v>
      </c>
      <c r="P100" s="15">
        <v>18</v>
      </c>
      <c r="Q100" s="15">
        <v>19</v>
      </c>
      <c r="R100" s="15"/>
      <c r="S100" s="15"/>
    </row>
    <row r="101" spans="1:19" x14ac:dyDescent="0.15">
      <c r="A101" s="23">
        <v>14</v>
      </c>
      <c r="B101" s="17">
        <f t="shared" si="36"/>
        <v>21</v>
      </c>
      <c r="C101" s="23">
        <f>C100+2</f>
        <v>4</v>
      </c>
      <c r="D101" s="23">
        <f>D100+3</f>
        <v>11</v>
      </c>
      <c r="E101" s="23">
        <v>172.84</v>
      </c>
      <c r="F101" s="23">
        <v>5.76</v>
      </c>
      <c r="G101" s="23">
        <f t="shared" si="29"/>
        <v>30.006944444444446</v>
      </c>
      <c r="H101" s="15">
        <v>5</v>
      </c>
      <c r="I101" s="15">
        <v>6</v>
      </c>
      <c r="J101" s="15">
        <f t="shared" si="34"/>
        <v>20</v>
      </c>
      <c r="K101" s="15">
        <f t="shared" si="34"/>
        <v>21</v>
      </c>
      <c r="L101" s="15">
        <v>-12.26</v>
      </c>
      <c r="M101" s="15">
        <v>7.6</v>
      </c>
      <c r="N101" s="15">
        <f t="shared" si="30"/>
        <v>1.6131578947368421</v>
      </c>
      <c r="O101" s="15">
        <v>17</v>
      </c>
      <c r="P101" s="15">
        <f t="shared" si="35"/>
        <v>19</v>
      </c>
      <c r="Q101" s="15">
        <f t="shared" si="37"/>
        <v>21</v>
      </c>
      <c r="R101" s="15"/>
      <c r="S101" s="15"/>
    </row>
    <row r="102" spans="1:19" x14ac:dyDescent="0.15">
      <c r="A102" s="23">
        <v>15</v>
      </c>
      <c r="B102" s="17">
        <f>A102+1</f>
        <v>16</v>
      </c>
      <c r="C102" s="23">
        <f>B102+1</f>
        <v>17</v>
      </c>
      <c r="D102" s="23">
        <f>C102+1</f>
        <v>18</v>
      </c>
      <c r="E102" s="23">
        <v>1375.81</v>
      </c>
      <c r="F102" s="23">
        <v>6.44</v>
      </c>
      <c r="G102" s="23">
        <f t="shared" si="29"/>
        <v>213.63509316770185</v>
      </c>
      <c r="H102" s="15">
        <v>5</v>
      </c>
      <c r="I102" s="15">
        <v>6</v>
      </c>
      <c r="J102" s="15">
        <f t="shared" si="34"/>
        <v>21</v>
      </c>
      <c r="K102" s="15">
        <f t="shared" si="34"/>
        <v>22</v>
      </c>
      <c r="L102" s="15">
        <v>-14.14</v>
      </c>
      <c r="M102" s="15">
        <v>7.65</v>
      </c>
      <c r="N102" s="15">
        <f t="shared" si="30"/>
        <v>1.8483660130718955</v>
      </c>
      <c r="O102" s="15">
        <v>17</v>
      </c>
      <c r="P102" s="15">
        <f t="shared" si="35"/>
        <v>20</v>
      </c>
      <c r="Q102" s="15">
        <f t="shared" si="37"/>
        <v>23</v>
      </c>
      <c r="R102" s="15"/>
      <c r="S102" s="15"/>
    </row>
    <row r="103" spans="1:19" x14ac:dyDescent="0.15">
      <c r="A103" s="23">
        <v>15</v>
      </c>
      <c r="B103" s="17">
        <f t="shared" ref="B103:B108" si="38">B102+1</f>
        <v>17</v>
      </c>
      <c r="C103" s="23">
        <f>C102+2</f>
        <v>19</v>
      </c>
      <c r="D103" s="23">
        <f>D102+3</f>
        <v>21</v>
      </c>
      <c r="E103" s="23">
        <v>1023.04</v>
      </c>
      <c r="F103" s="23">
        <v>7.58</v>
      </c>
      <c r="G103" s="23">
        <f t="shared" si="29"/>
        <v>134.96569920844325</v>
      </c>
      <c r="H103" s="15">
        <v>5</v>
      </c>
      <c r="I103" s="15">
        <v>6</v>
      </c>
      <c r="J103" s="15">
        <f t="shared" si="34"/>
        <v>22</v>
      </c>
      <c r="K103" s="15">
        <f t="shared" si="34"/>
        <v>23</v>
      </c>
      <c r="L103" s="15">
        <v>-17.98</v>
      </c>
      <c r="M103" s="15">
        <v>7.68</v>
      </c>
      <c r="N103" s="15">
        <f t="shared" si="30"/>
        <v>2.3411458333333335</v>
      </c>
      <c r="O103" s="15">
        <v>17</v>
      </c>
      <c r="P103" s="15">
        <f t="shared" si="35"/>
        <v>21</v>
      </c>
      <c r="Q103" s="15">
        <v>1</v>
      </c>
      <c r="R103" s="15"/>
      <c r="S103" s="15"/>
    </row>
    <row r="104" spans="1:19" x14ac:dyDescent="0.15">
      <c r="A104" s="23">
        <v>15</v>
      </c>
      <c r="B104" s="17">
        <f t="shared" si="38"/>
        <v>18</v>
      </c>
      <c r="C104" s="23">
        <f>C103+2</f>
        <v>21</v>
      </c>
      <c r="D104" s="23">
        <f>D103+3</f>
        <v>24</v>
      </c>
      <c r="E104" s="23">
        <v>803.95</v>
      </c>
      <c r="F104" s="23">
        <v>8.06</v>
      </c>
      <c r="G104" s="23">
        <f t="shared" si="29"/>
        <v>99.745657568238215</v>
      </c>
      <c r="H104" s="15">
        <v>5</v>
      </c>
      <c r="I104" s="15">
        <v>6</v>
      </c>
      <c r="J104" s="15">
        <f t="shared" si="34"/>
        <v>23</v>
      </c>
      <c r="K104" s="15">
        <f t="shared" si="34"/>
        <v>24</v>
      </c>
      <c r="L104" s="15">
        <v>-22.76</v>
      </c>
      <c r="M104" s="15">
        <v>7.79</v>
      </c>
      <c r="N104" s="15">
        <f t="shared" si="30"/>
        <v>2.9216944801026958</v>
      </c>
      <c r="O104" s="15">
        <v>17</v>
      </c>
      <c r="P104" s="15">
        <f t="shared" si="35"/>
        <v>22</v>
      </c>
      <c r="Q104" s="15">
        <f t="shared" si="37"/>
        <v>3</v>
      </c>
      <c r="R104" s="15"/>
      <c r="S104" s="15"/>
    </row>
    <row r="105" spans="1:19" x14ac:dyDescent="0.15">
      <c r="A105" s="23">
        <v>15</v>
      </c>
      <c r="B105" s="17">
        <f t="shared" si="38"/>
        <v>19</v>
      </c>
      <c r="C105" s="23">
        <f>C104+2</f>
        <v>23</v>
      </c>
      <c r="D105" s="23">
        <v>3</v>
      </c>
      <c r="E105" s="23">
        <v>672.51</v>
      </c>
      <c r="F105" s="23">
        <v>7.96</v>
      </c>
      <c r="G105" s="23">
        <f t="shared" si="29"/>
        <v>84.486180904522612</v>
      </c>
      <c r="H105" s="15">
        <v>5</v>
      </c>
      <c r="I105" s="15">
        <v>6</v>
      </c>
      <c r="J105" s="15">
        <f>J104+1</f>
        <v>24</v>
      </c>
      <c r="K105" s="15">
        <v>1</v>
      </c>
      <c r="L105" s="15">
        <v>-34.24</v>
      </c>
      <c r="M105" s="15">
        <v>7.07</v>
      </c>
      <c r="N105" s="15">
        <f t="shared" si="30"/>
        <v>4.8429985855728432</v>
      </c>
      <c r="O105" s="15">
        <v>17</v>
      </c>
      <c r="P105" s="15">
        <f t="shared" si="35"/>
        <v>23</v>
      </c>
      <c r="Q105" s="15">
        <f t="shared" si="37"/>
        <v>5</v>
      </c>
      <c r="R105" s="15"/>
      <c r="S105" s="15"/>
    </row>
    <row r="106" spans="1:19" x14ac:dyDescent="0.15">
      <c r="A106" s="23">
        <v>15</v>
      </c>
      <c r="B106" s="17">
        <f t="shared" si="38"/>
        <v>20</v>
      </c>
      <c r="C106" s="23">
        <v>1</v>
      </c>
      <c r="D106" s="23">
        <f>D105+3</f>
        <v>6</v>
      </c>
      <c r="E106" s="23">
        <v>545.08000000000004</v>
      </c>
      <c r="F106" s="23">
        <v>7.94</v>
      </c>
      <c r="G106" s="23">
        <f t="shared" si="29"/>
        <v>68.649874055415623</v>
      </c>
      <c r="H106" s="15">
        <v>5</v>
      </c>
      <c r="I106" s="15">
        <v>6</v>
      </c>
      <c r="J106" s="15">
        <v>1</v>
      </c>
      <c r="K106" s="15">
        <f>K105+1</f>
        <v>2</v>
      </c>
      <c r="L106" s="15">
        <v>-66.63</v>
      </c>
      <c r="M106" s="15">
        <v>6.84</v>
      </c>
      <c r="N106" s="15">
        <f t="shared" si="30"/>
        <v>9.7412280701754383</v>
      </c>
      <c r="O106" s="15">
        <v>18</v>
      </c>
      <c r="P106" s="15">
        <v>19</v>
      </c>
      <c r="Q106" s="15">
        <v>20</v>
      </c>
      <c r="R106" s="15"/>
      <c r="S106" s="15"/>
    </row>
    <row r="107" spans="1:19" x14ac:dyDescent="0.15">
      <c r="A107" s="23">
        <v>15</v>
      </c>
      <c r="B107" s="17">
        <f t="shared" si="38"/>
        <v>21</v>
      </c>
      <c r="C107" s="23">
        <f>C106+2</f>
        <v>3</v>
      </c>
      <c r="D107" s="23">
        <f>D106+3</f>
        <v>9</v>
      </c>
      <c r="E107" s="23">
        <v>450.03</v>
      </c>
      <c r="F107" s="23">
        <v>8.69</v>
      </c>
      <c r="G107" s="23">
        <f t="shared" si="29"/>
        <v>51.787111622554661</v>
      </c>
      <c r="H107" s="15">
        <v>5</v>
      </c>
      <c r="I107" s="15">
        <v>6</v>
      </c>
      <c r="J107" s="15">
        <f>J106+1</f>
        <v>2</v>
      </c>
      <c r="K107" s="15">
        <f>K106+1</f>
        <v>3</v>
      </c>
      <c r="L107" s="15">
        <v>-142.94</v>
      </c>
      <c r="M107" s="15">
        <v>66.790000000000006</v>
      </c>
      <c r="N107" s="15">
        <f t="shared" si="30"/>
        <v>2.1401407396316809</v>
      </c>
      <c r="O107" s="15">
        <v>18</v>
      </c>
      <c r="P107" s="15">
        <f t="shared" si="35"/>
        <v>20</v>
      </c>
      <c r="Q107" s="15">
        <f t="shared" si="37"/>
        <v>22</v>
      </c>
      <c r="R107" s="15"/>
      <c r="S107" s="15"/>
    </row>
    <row r="108" spans="1:19" x14ac:dyDescent="0.15">
      <c r="A108" s="23">
        <v>15</v>
      </c>
      <c r="B108" s="17">
        <f t="shared" si="38"/>
        <v>22</v>
      </c>
      <c r="C108" s="23">
        <f>C107+2</f>
        <v>5</v>
      </c>
      <c r="D108" s="23">
        <f>D107+3</f>
        <v>12</v>
      </c>
      <c r="E108" s="23">
        <v>306.68</v>
      </c>
      <c r="F108" s="23">
        <v>10.83</v>
      </c>
      <c r="G108" s="23">
        <f t="shared" si="29"/>
        <v>28.317636195752538</v>
      </c>
      <c r="H108" s="15">
        <v>5</v>
      </c>
      <c r="I108" s="15">
        <v>6</v>
      </c>
      <c r="J108" s="15">
        <f>J107+1</f>
        <v>3</v>
      </c>
      <c r="K108" s="15">
        <f>K107+1</f>
        <v>4</v>
      </c>
      <c r="L108" s="15">
        <v>-539.23</v>
      </c>
      <c r="M108" s="15">
        <v>6.75</v>
      </c>
      <c r="N108" s="15">
        <f t="shared" si="30"/>
        <v>79.885925925925932</v>
      </c>
      <c r="O108" s="15">
        <v>18</v>
      </c>
      <c r="P108" s="15">
        <f t="shared" si="35"/>
        <v>21</v>
      </c>
      <c r="Q108" s="15">
        <f t="shared" si="37"/>
        <v>24</v>
      </c>
      <c r="R108" s="15"/>
      <c r="S108" s="15"/>
    </row>
    <row r="109" spans="1:19" x14ac:dyDescent="0.15">
      <c r="A109" s="23">
        <v>16</v>
      </c>
      <c r="B109" s="17">
        <f>A109+1</f>
        <v>17</v>
      </c>
      <c r="C109" s="23">
        <f>B109+1</f>
        <v>18</v>
      </c>
      <c r="D109" s="23">
        <f>C109+1</f>
        <v>19</v>
      </c>
      <c r="E109" s="23">
        <v>1799.1</v>
      </c>
      <c r="F109" s="23">
        <v>8.08</v>
      </c>
      <c r="G109" s="23">
        <f t="shared" si="29"/>
        <v>222.6608910891089</v>
      </c>
      <c r="H109" s="15">
        <v>6</v>
      </c>
      <c r="I109" s="15">
        <v>7</v>
      </c>
      <c r="J109" s="15">
        <f>I109+1</f>
        <v>8</v>
      </c>
      <c r="K109" s="15">
        <f>J109+1</f>
        <v>9</v>
      </c>
      <c r="L109" s="15">
        <v>-492.29</v>
      </c>
      <c r="M109" s="15">
        <v>6.33</v>
      </c>
      <c r="N109" s="15">
        <f t="shared" si="30"/>
        <v>77.770932069510266</v>
      </c>
      <c r="O109" s="15">
        <v>18</v>
      </c>
      <c r="P109" s="15">
        <f t="shared" si="35"/>
        <v>22</v>
      </c>
      <c r="Q109" s="15">
        <v>2</v>
      </c>
      <c r="R109" s="15"/>
      <c r="S109" s="15"/>
    </row>
    <row r="110" spans="1:19" x14ac:dyDescent="0.15">
      <c r="A110" s="23">
        <v>16</v>
      </c>
      <c r="B110" s="17">
        <f t="shared" ref="B110:B115" si="39">B109+1</f>
        <v>18</v>
      </c>
      <c r="C110" s="23">
        <f>C109+2</f>
        <v>20</v>
      </c>
      <c r="D110" s="23">
        <f>D109+3</f>
        <v>22</v>
      </c>
      <c r="E110" s="23">
        <v>1105.31</v>
      </c>
      <c r="F110" s="23">
        <v>8.41</v>
      </c>
      <c r="G110" s="23">
        <f t="shared" si="29"/>
        <v>131.42806183115337</v>
      </c>
      <c r="H110" s="15">
        <v>6</v>
      </c>
      <c r="I110" s="15">
        <v>7</v>
      </c>
      <c r="J110" s="15">
        <f t="shared" ref="J110:K124" si="40">J109+1</f>
        <v>9</v>
      </c>
      <c r="K110" s="15">
        <f t="shared" si="40"/>
        <v>10</v>
      </c>
      <c r="L110" s="15">
        <v>-133.35</v>
      </c>
      <c r="M110" s="15">
        <v>6.41</v>
      </c>
      <c r="N110" s="15">
        <f t="shared" si="30"/>
        <v>20.80343213728549</v>
      </c>
      <c r="O110" s="15">
        <v>18</v>
      </c>
      <c r="P110" s="15">
        <f t="shared" si="35"/>
        <v>23</v>
      </c>
      <c r="Q110" s="15">
        <f t="shared" si="37"/>
        <v>4</v>
      </c>
      <c r="R110" s="15"/>
      <c r="S110" s="15"/>
    </row>
    <row r="111" spans="1:19" x14ac:dyDescent="0.15">
      <c r="A111" s="23">
        <v>16</v>
      </c>
      <c r="B111" s="17">
        <f t="shared" si="39"/>
        <v>19</v>
      </c>
      <c r="C111" s="23">
        <f>C110+2</f>
        <v>22</v>
      </c>
      <c r="D111" s="23">
        <v>1</v>
      </c>
      <c r="E111" s="23">
        <v>833.16</v>
      </c>
      <c r="F111" s="23">
        <v>8.31</v>
      </c>
      <c r="G111" s="23">
        <f t="shared" si="29"/>
        <v>100.25992779783392</v>
      </c>
      <c r="H111" s="15">
        <v>6</v>
      </c>
      <c r="I111" s="15">
        <v>7</v>
      </c>
      <c r="J111" s="15">
        <f t="shared" si="40"/>
        <v>10</v>
      </c>
      <c r="K111" s="15">
        <f t="shared" si="40"/>
        <v>11</v>
      </c>
      <c r="L111" s="15">
        <v>-53.59</v>
      </c>
      <c r="M111" s="15">
        <v>6.56</v>
      </c>
      <c r="N111" s="15">
        <f t="shared" si="30"/>
        <v>8.1692073170731714</v>
      </c>
      <c r="O111" s="15">
        <v>18</v>
      </c>
      <c r="P111" s="15">
        <f t="shared" si="35"/>
        <v>24</v>
      </c>
      <c r="Q111" s="15">
        <f t="shared" si="37"/>
        <v>6</v>
      </c>
      <c r="R111" s="15"/>
      <c r="S111" s="15"/>
    </row>
    <row r="112" spans="1:19" x14ac:dyDescent="0.15">
      <c r="A112" s="23">
        <v>16</v>
      </c>
      <c r="B112" s="17">
        <f t="shared" si="39"/>
        <v>20</v>
      </c>
      <c r="C112" s="23">
        <f>C111+2</f>
        <v>24</v>
      </c>
      <c r="D112" s="23">
        <v>4</v>
      </c>
      <c r="E112" s="23">
        <v>559.87</v>
      </c>
      <c r="F112" s="23">
        <v>6.73</v>
      </c>
      <c r="G112" s="23">
        <f t="shared" si="29"/>
        <v>83.190193164933135</v>
      </c>
      <c r="H112" s="15">
        <v>6</v>
      </c>
      <c r="I112" s="15">
        <v>7</v>
      </c>
      <c r="J112" s="15">
        <f t="shared" si="40"/>
        <v>11</v>
      </c>
      <c r="K112" s="15">
        <f t="shared" si="40"/>
        <v>12</v>
      </c>
      <c r="L112" s="15">
        <v>-35.96</v>
      </c>
      <c r="M112" s="15">
        <v>6.54</v>
      </c>
      <c r="N112" s="15">
        <f t="shared" si="30"/>
        <v>5.4984709480122325</v>
      </c>
      <c r="O112" s="15">
        <v>19</v>
      </c>
      <c r="P112" s="15">
        <v>20</v>
      </c>
      <c r="Q112" s="15">
        <v>21</v>
      </c>
      <c r="R112" s="15"/>
      <c r="S112" s="15"/>
    </row>
    <row r="113" spans="1:19" x14ac:dyDescent="0.15">
      <c r="A113" s="23">
        <v>16</v>
      </c>
      <c r="B113" s="17">
        <f t="shared" si="39"/>
        <v>21</v>
      </c>
      <c r="C113" s="23">
        <v>2</v>
      </c>
      <c r="D113" s="23">
        <f>D112+3</f>
        <v>7</v>
      </c>
      <c r="E113" s="23">
        <v>500.59</v>
      </c>
      <c r="F113" s="23">
        <v>7.12</v>
      </c>
      <c r="G113" s="23">
        <f t="shared" si="29"/>
        <v>70.307584269662911</v>
      </c>
      <c r="H113" s="15">
        <v>6</v>
      </c>
      <c r="I113" s="15">
        <v>7</v>
      </c>
      <c r="J113" s="15">
        <f t="shared" si="40"/>
        <v>12</v>
      </c>
      <c r="K113" s="15">
        <f t="shared" si="40"/>
        <v>13</v>
      </c>
      <c r="L113" s="15">
        <v>-21.54</v>
      </c>
      <c r="M113" s="15">
        <v>6.52</v>
      </c>
      <c r="N113" s="15">
        <f t="shared" si="30"/>
        <v>3.3036809815950923</v>
      </c>
      <c r="O113" s="15">
        <v>19</v>
      </c>
      <c r="P113" s="15">
        <f t="shared" si="35"/>
        <v>21</v>
      </c>
      <c r="Q113" s="15">
        <f t="shared" si="37"/>
        <v>23</v>
      </c>
      <c r="R113" s="15"/>
      <c r="S113" s="15"/>
    </row>
    <row r="114" spans="1:19" x14ac:dyDescent="0.15">
      <c r="A114" s="23">
        <v>16</v>
      </c>
      <c r="B114" s="17">
        <f t="shared" si="39"/>
        <v>22</v>
      </c>
      <c r="C114" s="23">
        <f>C113+2</f>
        <v>4</v>
      </c>
      <c r="D114" s="23">
        <f>D113+3</f>
        <v>10</v>
      </c>
      <c r="E114" s="23">
        <v>397.93</v>
      </c>
      <c r="F114" s="23">
        <v>8.0500000000000007</v>
      </c>
      <c r="G114" s="23">
        <f t="shared" si="29"/>
        <v>49.432298136645962</v>
      </c>
      <c r="H114" s="15">
        <v>6</v>
      </c>
      <c r="I114" s="15">
        <v>7</v>
      </c>
      <c r="J114" s="15">
        <f t="shared" si="40"/>
        <v>13</v>
      </c>
      <c r="K114" s="15">
        <f t="shared" si="40"/>
        <v>14</v>
      </c>
      <c r="L114" s="15">
        <v>-18.41</v>
      </c>
      <c r="M114" s="15">
        <v>6.42</v>
      </c>
      <c r="N114" s="15">
        <f t="shared" si="30"/>
        <v>2.8676012461059193</v>
      </c>
      <c r="O114" s="15">
        <v>19</v>
      </c>
      <c r="P114" s="15">
        <f t="shared" si="35"/>
        <v>22</v>
      </c>
      <c r="Q114" s="15">
        <v>1</v>
      </c>
      <c r="R114" s="15"/>
      <c r="S114" s="15"/>
    </row>
    <row r="115" spans="1:19" x14ac:dyDescent="0.15">
      <c r="A115" s="23">
        <v>16</v>
      </c>
      <c r="B115" s="17">
        <f t="shared" si="39"/>
        <v>23</v>
      </c>
      <c r="C115" s="23">
        <f>C114+2</f>
        <v>6</v>
      </c>
      <c r="D115" s="23">
        <f>D114+3</f>
        <v>13</v>
      </c>
      <c r="E115" s="23">
        <v>248.45</v>
      </c>
      <c r="F115" s="23">
        <v>8.34</v>
      </c>
      <c r="G115" s="23">
        <f t="shared" si="29"/>
        <v>29.790167865707435</v>
      </c>
      <c r="H115" s="15">
        <v>6</v>
      </c>
      <c r="I115" s="15">
        <v>7</v>
      </c>
      <c r="J115" s="15">
        <f t="shared" si="40"/>
        <v>14</v>
      </c>
      <c r="K115" s="15">
        <f t="shared" si="40"/>
        <v>15</v>
      </c>
      <c r="L115" s="15">
        <v>-13.96</v>
      </c>
      <c r="M115" s="15">
        <v>6.43</v>
      </c>
      <c r="N115" s="15">
        <f t="shared" si="30"/>
        <v>2.1710730948678072</v>
      </c>
      <c r="O115" s="15">
        <v>19</v>
      </c>
      <c r="P115" s="15">
        <f t="shared" si="35"/>
        <v>23</v>
      </c>
      <c r="Q115" s="15">
        <f t="shared" si="37"/>
        <v>3</v>
      </c>
      <c r="R115" s="15"/>
      <c r="S115" s="15"/>
    </row>
    <row r="116" spans="1:19" x14ac:dyDescent="0.15">
      <c r="A116" s="23">
        <v>17</v>
      </c>
      <c r="B116" s="17">
        <f>A116+1</f>
        <v>18</v>
      </c>
      <c r="C116" s="23">
        <f>B116+1</f>
        <v>19</v>
      </c>
      <c r="D116" s="23">
        <f>C116+1</f>
        <v>20</v>
      </c>
      <c r="E116" s="23">
        <v>1756.75</v>
      </c>
      <c r="F116" s="23">
        <v>7.62</v>
      </c>
      <c r="G116" s="23">
        <f t="shared" si="29"/>
        <v>230.54461942257217</v>
      </c>
      <c r="H116" s="15">
        <v>6</v>
      </c>
      <c r="I116" s="15">
        <v>7</v>
      </c>
      <c r="J116" s="15">
        <f t="shared" si="40"/>
        <v>15</v>
      </c>
      <c r="K116" s="15">
        <f t="shared" si="40"/>
        <v>16</v>
      </c>
      <c r="L116" s="15">
        <v>-12.8</v>
      </c>
      <c r="M116" s="15">
        <v>6.6</v>
      </c>
      <c r="N116" s="15">
        <f t="shared" si="30"/>
        <v>1.9393939393939397</v>
      </c>
      <c r="O116" s="15">
        <v>19</v>
      </c>
      <c r="P116" s="15">
        <f t="shared" si="35"/>
        <v>24</v>
      </c>
      <c r="Q116" s="15">
        <f t="shared" si="37"/>
        <v>5</v>
      </c>
      <c r="R116" s="15"/>
      <c r="S116" s="15"/>
    </row>
    <row r="117" spans="1:19" x14ac:dyDescent="0.15">
      <c r="A117" s="23">
        <v>17</v>
      </c>
      <c r="B117" s="17">
        <f t="shared" ref="B117:B122" si="41">B116+1</f>
        <v>19</v>
      </c>
      <c r="C117" s="23">
        <f>C116+2</f>
        <v>21</v>
      </c>
      <c r="D117" s="23">
        <f>D116+3</f>
        <v>23</v>
      </c>
      <c r="E117" s="23">
        <v>1098.95</v>
      </c>
      <c r="F117" s="23">
        <v>8.69</v>
      </c>
      <c r="G117" s="23">
        <f t="shared" si="29"/>
        <v>126.46144994246261</v>
      </c>
      <c r="H117" s="15">
        <v>6</v>
      </c>
      <c r="I117" s="15">
        <v>7</v>
      </c>
      <c r="J117" s="15">
        <f t="shared" si="40"/>
        <v>16</v>
      </c>
      <c r="K117" s="15">
        <f t="shared" si="40"/>
        <v>17</v>
      </c>
      <c r="L117" s="15">
        <v>-13.5</v>
      </c>
      <c r="M117" s="15">
        <v>6.48</v>
      </c>
      <c r="N117" s="15">
        <f t="shared" si="30"/>
        <v>2.083333333333333</v>
      </c>
      <c r="O117" s="15">
        <v>19</v>
      </c>
      <c r="P117" s="15">
        <v>1</v>
      </c>
      <c r="Q117" s="15">
        <f t="shared" si="37"/>
        <v>7</v>
      </c>
      <c r="R117" s="15"/>
      <c r="S117" s="15"/>
    </row>
    <row r="118" spans="1:19" x14ac:dyDescent="0.15">
      <c r="A118" s="23">
        <v>17</v>
      </c>
      <c r="B118" s="17">
        <f t="shared" si="41"/>
        <v>20</v>
      </c>
      <c r="C118" s="23">
        <f>C117+2</f>
        <v>23</v>
      </c>
      <c r="D118" s="23">
        <v>2</v>
      </c>
      <c r="E118" s="23">
        <v>701.41</v>
      </c>
      <c r="F118" s="23">
        <v>7.05</v>
      </c>
      <c r="G118" s="23">
        <f t="shared" si="29"/>
        <v>99.49078014184397</v>
      </c>
      <c r="H118" s="15">
        <v>6</v>
      </c>
      <c r="I118" s="15">
        <v>7</v>
      </c>
      <c r="J118" s="15">
        <f t="shared" si="40"/>
        <v>17</v>
      </c>
      <c r="K118" s="15">
        <f t="shared" si="40"/>
        <v>18</v>
      </c>
      <c r="L118" s="15">
        <v>-11.57</v>
      </c>
      <c r="M118" s="15">
        <v>7.29</v>
      </c>
      <c r="N118" s="15">
        <f t="shared" si="30"/>
        <v>1.5871056241426613</v>
      </c>
      <c r="O118" s="15">
        <v>20</v>
      </c>
      <c r="P118" s="15">
        <v>21</v>
      </c>
      <c r="Q118" s="15">
        <v>22</v>
      </c>
      <c r="R118" s="15"/>
      <c r="S118" s="15"/>
    </row>
    <row r="119" spans="1:19" x14ac:dyDescent="0.15">
      <c r="A119" s="23">
        <v>17</v>
      </c>
      <c r="B119" s="17">
        <f t="shared" si="41"/>
        <v>21</v>
      </c>
      <c r="C119" s="23">
        <v>1</v>
      </c>
      <c r="D119" s="23">
        <f>D118+3</f>
        <v>5</v>
      </c>
      <c r="E119" s="23">
        <v>586.61</v>
      </c>
      <c r="F119" s="23">
        <v>7.37</v>
      </c>
      <c r="G119" s="23">
        <f t="shared" si="29"/>
        <v>79.594301221166887</v>
      </c>
      <c r="H119" s="15">
        <v>6</v>
      </c>
      <c r="I119" s="15">
        <v>7</v>
      </c>
      <c r="J119" s="15">
        <f t="shared" si="40"/>
        <v>18</v>
      </c>
      <c r="K119" s="15">
        <f t="shared" si="40"/>
        <v>19</v>
      </c>
      <c r="L119" s="15">
        <v>-11.01</v>
      </c>
      <c r="M119" s="15">
        <v>7.31</v>
      </c>
      <c r="N119" s="15">
        <f t="shared" si="30"/>
        <v>1.5061559507523941</v>
      </c>
      <c r="O119" s="15">
        <v>20</v>
      </c>
      <c r="P119" s="15">
        <f t="shared" si="35"/>
        <v>22</v>
      </c>
      <c r="Q119" s="15">
        <f t="shared" si="37"/>
        <v>24</v>
      </c>
      <c r="R119" s="15"/>
      <c r="S119" s="15"/>
    </row>
    <row r="120" spans="1:19" x14ac:dyDescent="0.15">
      <c r="A120" s="23">
        <v>17</v>
      </c>
      <c r="B120" s="17">
        <f t="shared" si="41"/>
        <v>22</v>
      </c>
      <c r="C120" s="23">
        <f>C119+2</f>
        <v>3</v>
      </c>
      <c r="D120" s="23">
        <f>D119+3</f>
        <v>8</v>
      </c>
      <c r="E120" s="23">
        <v>491.41</v>
      </c>
      <c r="F120" s="23">
        <v>6.99</v>
      </c>
      <c r="G120" s="23">
        <f t="shared" si="29"/>
        <v>70.301859799713881</v>
      </c>
      <c r="H120" s="15">
        <v>6</v>
      </c>
      <c r="I120" s="15">
        <v>7</v>
      </c>
      <c r="J120" s="15">
        <f t="shared" si="40"/>
        <v>19</v>
      </c>
      <c r="K120" s="15">
        <f t="shared" si="40"/>
        <v>20</v>
      </c>
      <c r="L120" s="15">
        <v>-10.79</v>
      </c>
      <c r="M120" s="15">
        <v>7.34</v>
      </c>
      <c r="N120" s="15">
        <f t="shared" si="30"/>
        <v>1.4700272479564032</v>
      </c>
      <c r="O120" s="15">
        <v>20</v>
      </c>
      <c r="P120" s="15">
        <f t="shared" si="35"/>
        <v>23</v>
      </c>
      <c r="Q120" s="15">
        <v>2</v>
      </c>
      <c r="R120" s="15"/>
      <c r="S120" s="15"/>
    </row>
    <row r="121" spans="1:19" x14ac:dyDescent="0.15">
      <c r="A121" s="23">
        <v>17</v>
      </c>
      <c r="B121" s="17">
        <f t="shared" si="41"/>
        <v>23</v>
      </c>
      <c r="C121" s="23">
        <f>C120+2</f>
        <v>5</v>
      </c>
      <c r="D121" s="23">
        <f>D120+3</f>
        <v>11</v>
      </c>
      <c r="E121" s="23">
        <v>398.78</v>
      </c>
      <c r="F121" s="23">
        <v>8.0299999999999994</v>
      </c>
      <c r="G121" s="23">
        <f t="shared" si="29"/>
        <v>49.661270236612701</v>
      </c>
      <c r="H121" s="15">
        <v>6</v>
      </c>
      <c r="I121" s="15">
        <v>7</v>
      </c>
      <c r="J121" s="15">
        <f t="shared" si="40"/>
        <v>20</v>
      </c>
      <c r="K121" s="15">
        <f t="shared" si="40"/>
        <v>21</v>
      </c>
      <c r="L121" s="15">
        <v>-10.77</v>
      </c>
      <c r="M121" s="15">
        <v>7.29</v>
      </c>
      <c r="N121" s="15">
        <f t="shared" si="30"/>
        <v>1.4773662551440327</v>
      </c>
      <c r="O121" s="15">
        <v>20</v>
      </c>
      <c r="P121" s="15">
        <f t="shared" si="35"/>
        <v>24</v>
      </c>
      <c r="Q121" s="15">
        <f t="shared" si="37"/>
        <v>4</v>
      </c>
      <c r="R121" s="15"/>
      <c r="S121" s="15"/>
    </row>
    <row r="122" spans="1:19" x14ac:dyDescent="0.15">
      <c r="A122" s="23">
        <v>17</v>
      </c>
      <c r="B122" s="17">
        <f t="shared" si="41"/>
        <v>24</v>
      </c>
      <c r="C122" s="23">
        <f>C121+2</f>
        <v>7</v>
      </c>
      <c r="D122" s="23">
        <f>D121+3</f>
        <v>14</v>
      </c>
      <c r="E122" s="23">
        <v>214.3</v>
      </c>
      <c r="F122" s="23">
        <v>7.09</v>
      </c>
      <c r="G122" s="23">
        <f t="shared" si="29"/>
        <v>30.225669957686886</v>
      </c>
      <c r="H122" s="15">
        <v>6</v>
      </c>
      <c r="I122" s="15">
        <v>7</v>
      </c>
      <c r="J122" s="15">
        <f t="shared" si="40"/>
        <v>21</v>
      </c>
      <c r="K122" s="15">
        <f t="shared" si="40"/>
        <v>22</v>
      </c>
      <c r="L122" s="15">
        <v>-12.14</v>
      </c>
      <c r="M122" s="15">
        <v>7.09</v>
      </c>
      <c r="N122" s="15">
        <f t="shared" si="30"/>
        <v>1.7122708039492245</v>
      </c>
      <c r="O122" s="15">
        <v>20</v>
      </c>
      <c r="P122" s="15">
        <v>1</v>
      </c>
      <c r="Q122" s="15">
        <f t="shared" si="37"/>
        <v>6</v>
      </c>
      <c r="R122" s="15"/>
      <c r="S122" s="15"/>
    </row>
    <row r="123" spans="1:19" x14ac:dyDescent="0.15">
      <c r="A123" s="23">
        <v>18</v>
      </c>
      <c r="B123" s="17">
        <f>A123+1</f>
        <v>19</v>
      </c>
      <c r="C123" s="23">
        <f>B123+1</f>
        <v>20</v>
      </c>
      <c r="D123" s="23">
        <f>C123+1</f>
        <v>21</v>
      </c>
      <c r="E123" s="23">
        <v>1307.54</v>
      </c>
      <c r="F123" s="23">
        <v>5.95</v>
      </c>
      <c r="G123" s="23">
        <f t="shared" si="29"/>
        <v>219.75462184873948</v>
      </c>
      <c r="H123" s="15">
        <v>6</v>
      </c>
      <c r="I123" s="15">
        <v>7</v>
      </c>
      <c r="J123" s="15">
        <f t="shared" si="40"/>
        <v>22</v>
      </c>
      <c r="K123" s="15">
        <f t="shared" si="40"/>
        <v>23</v>
      </c>
      <c r="L123" s="15">
        <v>-14.11</v>
      </c>
      <c r="M123" s="15">
        <v>7.04</v>
      </c>
      <c r="N123" s="15">
        <f t="shared" si="30"/>
        <v>2.0042613636363638</v>
      </c>
      <c r="O123" s="15">
        <v>20</v>
      </c>
      <c r="P123" s="15">
        <f t="shared" si="35"/>
        <v>2</v>
      </c>
      <c r="Q123" s="15">
        <f t="shared" si="37"/>
        <v>8</v>
      </c>
      <c r="R123" s="15"/>
      <c r="S123" s="15"/>
    </row>
    <row r="124" spans="1:19" x14ac:dyDescent="0.15">
      <c r="A124" s="23">
        <v>18</v>
      </c>
      <c r="B124" s="17">
        <f>B123+1</f>
        <v>20</v>
      </c>
      <c r="C124" s="23">
        <f>C123+2</f>
        <v>22</v>
      </c>
      <c r="D124" s="23">
        <f>D123+3</f>
        <v>24</v>
      </c>
      <c r="E124" s="23">
        <v>776.59</v>
      </c>
      <c r="F124" s="23">
        <v>6.08</v>
      </c>
      <c r="G124" s="23">
        <f t="shared" si="29"/>
        <v>127.72861842105263</v>
      </c>
      <c r="H124" s="15">
        <v>6</v>
      </c>
      <c r="I124" s="15">
        <v>7</v>
      </c>
      <c r="J124" s="15">
        <f t="shared" si="40"/>
        <v>23</v>
      </c>
      <c r="K124" s="15">
        <f t="shared" si="40"/>
        <v>24</v>
      </c>
      <c r="L124" s="15">
        <v>-16.47</v>
      </c>
      <c r="M124" s="15">
        <v>7.04</v>
      </c>
      <c r="N124" s="15">
        <f t="shared" si="30"/>
        <v>2.3394886363636362</v>
      </c>
      <c r="O124" s="15">
        <v>21</v>
      </c>
      <c r="P124" s="15">
        <v>22</v>
      </c>
      <c r="Q124" s="15">
        <v>23</v>
      </c>
      <c r="R124" s="15"/>
      <c r="S124" s="15"/>
    </row>
    <row r="125" spans="1:19" x14ac:dyDescent="0.15">
      <c r="A125" s="23">
        <v>18</v>
      </c>
      <c r="B125" s="17">
        <f>B124+1</f>
        <v>21</v>
      </c>
      <c r="C125" s="23">
        <f>C124+2</f>
        <v>24</v>
      </c>
      <c r="D125" s="23">
        <v>3</v>
      </c>
      <c r="E125" s="23">
        <v>651.26</v>
      </c>
      <c r="F125" s="23">
        <v>6.54</v>
      </c>
      <c r="G125" s="23">
        <f t="shared" si="29"/>
        <v>99.581039755351682</v>
      </c>
      <c r="H125" s="15">
        <v>6</v>
      </c>
      <c r="I125" s="15">
        <v>7</v>
      </c>
      <c r="J125" s="15">
        <f>J124+1</f>
        <v>24</v>
      </c>
      <c r="K125" s="15">
        <v>1</v>
      </c>
      <c r="L125" s="15">
        <v>-20.6</v>
      </c>
      <c r="M125" s="15">
        <v>6.12</v>
      </c>
      <c r="N125" s="15">
        <f t="shared" si="30"/>
        <v>3.3660130718954249</v>
      </c>
      <c r="O125" s="15">
        <v>21</v>
      </c>
      <c r="P125" s="15">
        <f t="shared" si="35"/>
        <v>23</v>
      </c>
      <c r="Q125" s="15">
        <v>1</v>
      </c>
      <c r="R125" s="15"/>
      <c r="S125" s="15"/>
    </row>
    <row r="126" spans="1:19" x14ac:dyDescent="0.15">
      <c r="A126" s="23">
        <v>18</v>
      </c>
      <c r="B126" s="17">
        <f>B125+1</f>
        <v>22</v>
      </c>
      <c r="C126" s="23">
        <v>2</v>
      </c>
      <c r="D126" s="23">
        <f>D125+3</f>
        <v>6</v>
      </c>
      <c r="E126" s="23">
        <v>550.25</v>
      </c>
      <c r="F126" s="23">
        <v>6.46</v>
      </c>
      <c r="G126" s="23">
        <f t="shared" si="29"/>
        <v>85.178018575851397</v>
      </c>
      <c r="H126" s="15">
        <v>6</v>
      </c>
      <c r="I126" s="15">
        <v>7</v>
      </c>
      <c r="J126" s="15">
        <v>1</v>
      </c>
      <c r="K126" s="15">
        <f>K125+1</f>
        <v>2</v>
      </c>
      <c r="L126" s="15">
        <v>-35.979999999999997</v>
      </c>
      <c r="M126" s="15">
        <v>6.23</v>
      </c>
      <c r="N126" s="15">
        <f t="shared" si="30"/>
        <v>5.7752808988764039</v>
      </c>
      <c r="O126" s="15">
        <v>21</v>
      </c>
      <c r="P126" s="15">
        <f t="shared" si="35"/>
        <v>24</v>
      </c>
      <c r="Q126" s="15">
        <f t="shared" si="37"/>
        <v>3</v>
      </c>
      <c r="R126" s="15"/>
      <c r="S126" s="15"/>
    </row>
    <row r="127" spans="1:19" x14ac:dyDescent="0.15">
      <c r="A127" s="23">
        <v>18</v>
      </c>
      <c r="B127" s="17">
        <f>B126+1</f>
        <v>23</v>
      </c>
      <c r="C127" s="23">
        <f>C126+2</f>
        <v>4</v>
      </c>
      <c r="D127" s="23">
        <f>D126+3</f>
        <v>9</v>
      </c>
      <c r="E127" s="23">
        <v>468.93</v>
      </c>
      <c r="F127" s="23">
        <v>6.52</v>
      </c>
      <c r="G127" s="23">
        <f t="shared" si="29"/>
        <v>71.921779141104295</v>
      </c>
      <c r="H127" s="15">
        <v>6</v>
      </c>
      <c r="I127" s="15">
        <v>7</v>
      </c>
      <c r="J127" s="15">
        <f>J126+1</f>
        <v>2</v>
      </c>
      <c r="K127" s="15">
        <f>K126+1</f>
        <v>3</v>
      </c>
      <c r="L127" s="15">
        <v>-61.33</v>
      </c>
      <c r="M127" s="15">
        <v>6.42</v>
      </c>
      <c r="N127" s="15">
        <f t="shared" si="30"/>
        <v>9.5529595015576323</v>
      </c>
      <c r="O127" s="15">
        <v>21</v>
      </c>
      <c r="P127" s="15">
        <v>1</v>
      </c>
      <c r="Q127" s="15">
        <f t="shared" si="37"/>
        <v>5</v>
      </c>
      <c r="R127" s="15"/>
      <c r="S127" s="15"/>
    </row>
    <row r="128" spans="1:19" x14ac:dyDescent="0.15">
      <c r="A128" s="23">
        <v>18</v>
      </c>
      <c r="B128" s="17">
        <f>B127+1</f>
        <v>24</v>
      </c>
      <c r="C128" s="23">
        <f>C127+2</f>
        <v>6</v>
      </c>
      <c r="D128" s="23">
        <f>D127+3</f>
        <v>12</v>
      </c>
      <c r="E128" s="23">
        <v>350.45</v>
      </c>
      <c r="F128" s="23">
        <v>6.47</v>
      </c>
      <c r="G128" s="23">
        <f t="shared" si="29"/>
        <v>54.16537867078825</v>
      </c>
      <c r="H128" s="15">
        <v>6</v>
      </c>
      <c r="I128" s="15">
        <v>7</v>
      </c>
      <c r="J128" s="15">
        <f>J127+1</f>
        <v>3</v>
      </c>
      <c r="K128" s="15">
        <f>K127+1</f>
        <v>4</v>
      </c>
      <c r="L128" s="15">
        <v>-139.03</v>
      </c>
      <c r="M128" s="15">
        <v>6.33</v>
      </c>
      <c r="N128" s="15">
        <f t="shared" si="30"/>
        <v>21.963665086887836</v>
      </c>
      <c r="O128" s="15">
        <v>21</v>
      </c>
      <c r="P128" s="15">
        <f t="shared" si="35"/>
        <v>2</v>
      </c>
      <c r="Q128" s="15">
        <f t="shared" si="37"/>
        <v>7</v>
      </c>
      <c r="R128" s="15"/>
      <c r="S128" s="15"/>
    </row>
    <row r="129" spans="1:19" x14ac:dyDescent="0.15">
      <c r="A129" s="23">
        <v>18</v>
      </c>
      <c r="B129" s="17">
        <v>1</v>
      </c>
      <c r="C129" s="23">
        <f>C128+2</f>
        <v>8</v>
      </c>
      <c r="D129" s="23">
        <f>D128+3</f>
        <v>15</v>
      </c>
      <c r="E129" s="23">
        <v>220.68</v>
      </c>
      <c r="F129" s="23">
        <v>6.97</v>
      </c>
      <c r="G129" s="23">
        <f t="shared" si="29"/>
        <v>31.661406025824967</v>
      </c>
      <c r="H129" s="15">
        <v>6</v>
      </c>
      <c r="I129" s="15">
        <v>7</v>
      </c>
      <c r="J129" s="15">
        <f>J128+1</f>
        <v>4</v>
      </c>
      <c r="K129" s="15">
        <f>K128+1</f>
        <v>5</v>
      </c>
      <c r="L129" s="15">
        <v>-593.72</v>
      </c>
      <c r="M129" s="15">
        <v>6.35</v>
      </c>
      <c r="N129" s="15">
        <f t="shared" si="30"/>
        <v>93.499212598425203</v>
      </c>
      <c r="O129" s="15">
        <v>21</v>
      </c>
      <c r="P129" s="15">
        <f t="shared" si="35"/>
        <v>3</v>
      </c>
      <c r="Q129" s="15">
        <f t="shared" si="37"/>
        <v>9</v>
      </c>
      <c r="R129" s="15"/>
      <c r="S129" s="15"/>
    </row>
    <row r="130" spans="1:19" x14ac:dyDescent="0.15">
      <c r="A130" s="23">
        <v>19</v>
      </c>
      <c r="B130" s="17">
        <f>A130+1</f>
        <v>20</v>
      </c>
      <c r="C130" s="23">
        <f>B130+1</f>
        <v>21</v>
      </c>
      <c r="D130" s="23">
        <f>C130+1</f>
        <v>22</v>
      </c>
      <c r="E130" s="23">
        <v>1944.28</v>
      </c>
      <c r="F130" s="23">
        <v>8.65</v>
      </c>
      <c r="G130" s="23">
        <f t="shared" si="29"/>
        <v>224.7722543352601</v>
      </c>
      <c r="H130" s="15">
        <v>7</v>
      </c>
      <c r="I130" s="15">
        <v>8</v>
      </c>
      <c r="J130" s="15">
        <f>I130+1</f>
        <v>9</v>
      </c>
      <c r="K130" s="15">
        <f>J130+1</f>
        <v>10</v>
      </c>
      <c r="L130" s="15">
        <v>-490.06</v>
      </c>
      <c r="M130" s="15">
        <v>6.58</v>
      </c>
      <c r="N130" s="15">
        <f t="shared" si="30"/>
        <v>74.477203647416417</v>
      </c>
      <c r="O130" s="15">
        <v>22</v>
      </c>
      <c r="P130" s="15">
        <v>23</v>
      </c>
      <c r="Q130" s="15">
        <v>24</v>
      </c>
      <c r="R130" s="15"/>
      <c r="S130" s="15"/>
    </row>
    <row r="131" spans="1:19" x14ac:dyDescent="0.15">
      <c r="A131" s="23">
        <v>19</v>
      </c>
      <c r="B131" s="17">
        <f>B130+1</f>
        <v>21</v>
      </c>
      <c r="C131" s="23">
        <f>C130+2</f>
        <v>23</v>
      </c>
      <c r="D131" s="23">
        <v>1</v>
      </c>
      <c r="E131" s="23">
        <v>1121.73</v>
      </c>
      <c r="F131" s="23">
        <v>8.31</v>
      </c>
      <c r="G131" s="23">
        <f t="shared" si="29"/>
        <v>134.985559566787</v>
      </c>
      <c r="H131" s="15">
        <v>7</v>
      </c>
      <c r="I131" s="15">
        <v>8</v>
      </c>
      <c r="J131" s="15">
        <f t="shared" ref="J131:K144" si="42">J130+1</f>
        <v>10</v>
      </c>
      <c r="K131" s="15">
        <f t="shared" si="42"/>
        <v>11</v>
      </c>
      <c r="L131" s="15">
        <v>-125.29</v>
      </c>
      <c r="M131" s="15">
        <v>6.6</v>
      </c>
      <c r="N131" s="15">
        <f t="shared" si="30"/>
        <v>18.983333333333334</v>
      </c>
      <c r="O131" s="15">
        <v>22</v>
      </c>
      <c r="P131" s="15">
        <f t="shared" si="35"/>
        <v>24</v>
      </c>
      <c r="Q131" s="15">
        <v>2</v>
      </c>
      <c r="R131" s="15"/>
      <c r="S131" s="15"/>
    </row>
    <row r="132" spans="1:19" x14ac:dyDescent="0.15">
      <c r="A132" s="23">
        <v>19</v>
      </c>
      <c r="B132" s="17">
        <f>B131+1</f>
        <v>22</v>
      </c>
      <c r="C132" s="23">
        <v>1</v>
      </c>
      <c r="D132" s="23">
        <f>D131+3</f>
        <v>4</v>
      </c>
      <c r="E132" s="23">
        <v>698.38</v>
      </c>
      <c r="F132" s="23">
        <v>6.95</v>
      </c>
      <c r="G132" s="23">
        <f t="shared" si="29"/>
        <v>100.4863309352518</v>
      </c>
      <c r="H132" s="15">
        <v>7</v>
      </c>
      <c r="I132" s="15">
        <v>8</v>
      </c>
      <c r="J132" s="15">
        <f t="shared" si="42"/>
        <v>11</v>
      </c>
      <c r="K132" s="15">
        <f t="shared" si="42"/>
        <v>12</v>
      </c>
      <c r="L132" s="15">
        <v>-58.3</v>
      </c>
      <c r="M132" s="15">
        <v>6.56</v>
      </c>
      <c r="N132" s="15">
        <f t="shared" si="30"/>
        <v>8.8871951219512191</v>
      </c>
      <c r="O132" s="15">
        <v>22</v>
      </c>
      <c r="P132" s="15">
        <v>1</v>
      </c>
      <c r="Q132" s="15">
        <f t="shared" si="37"/>
        <v>4</v>
      </c>
      <c r="R132" s="15"/>
      <c r="S132" s="15"/>
    </row>
    <row r="133" spans="1:19" x14ac:dyDescent="0.15">
      <c r="A133" s="23">
        <v>19</v>
      </c>
      <c r="B133" s="17">
        <f>B132+1</f>
        <v>23</v>
      </c>
      <c r="C133" s="23">
        <f>C132+2</f>
        <v>3</v>
      </c>
      <c r="D133" s="23">
        <f>D132+3</f>
        <v>7</v>
      </c>
      <c r="E133" s="23">
        <v>633.6</v>
      </c>
      <c r="F133" s="23">
        <v>7.28</v>
      </c>
      <c r="G133" s="23">
        <f t="shared" ref="G133:G171" si="43">E133/F133</f>
        <v>87.032967032967036</v>
      </c>
      <c r="H133" s="15">
        <v>7</v>
      </c>
      <c r="I133" s="15">
        <v>8</v>
      </c>
      <c r="J133" s="15">
        <f t="shared" si="42"/>
        <v>12</v>
      </c>
      <c r="K133" s="15">
        <f t="shared" si="42"/>
        <v>13</v>
      </c>
      <c r="L133" s="15">
        <v>-31.3</v>
      </c>
      <c r="M133" s="15">
        <v>6.61</v>
      </c>
      <c r="N133" s="15">
        <f t="shared" ref="N133:N196" si="44">-L133/M133</f>
        <v>4.7352496217851741</v>
      </c>
      <c r="O133" s="15">
        <v>22</v>
      </c>
      <c r="P133" s="15">
        <f t="shared" si="35"/>
        <v>2</v>
      </c>
      <c r="Q133" s="15">
        <f t="shared" si="37"/>
        <v>6</v>
      </c>
      <c r="R133" s="15"/>
      <c r="S133" s="15"/>
    </row>
    <row r="134" spans="1:19" x14ac:dyDescent="0.15">
      <c r="A134" s="23">
        <v>19</v>
      </c>
      <c r="B134" s="17">
        <f>B133+1</f>
        <v>24</v>
      </c>
      <c r="C134" s="23">
        <f>C133+2</f>
        <v>5</v>
      </c>
      <c r="D134" s="23">
        <f>D133+3</f>
        <v>10</v>
      </c>
      <c r="E134" s="23">
        <v>534.61</v>
      </c>
      <c r="F134" s="23">
        <v>7.85</v>
      </c>
      <c r="G134" s="23">
        <f t="shared" si="43"/>
        <v>68.103184713375796</v>
      </c>
      <c r="H134" s="15">
        <v>7</v>
      </c>
      <c r="I134" s="15">
        <v>8</v>
      </c>
      <c r="J134" s="15">
        <f t="shared" si="42"/>
        <v>13</v>
      </c>
      <c r="K134" s="15">
        <f t="shared" si="42"/>
        <v>14</v>
      </c>
      <c r="L134" s="15">
        <v>-24.43</v>
      </c>
      <c r="M134" s="15">
        <v>6.51</v>
      </c>
      <c r="N134" s="15">
        <f t="shared" si="44"/>
        <v>3.752688172043011</v>
      </c>
      <c r="O134" s="15">
        <v>22</v>
      </c>
      <c r="P134" s="15">
        <f t="shared" si="35"/>
        <v>3</v>
      </c>
      <c r="Q134" s="15">
        <f t="shared" si="37"/>
        <v>8</v>
      </c>
      <c r="R134" s="15"/>
      <c r="S134" s="15"/>
    </row>
    <row r="135" spans="1:19" x14ac:dyDescent="0.15">
      <c r="A135" s="23">
        <v>19</v>
      </c>
      <c r="B135" s="17">
        <v>1</v>
      </c>
      <c r="C135" s="23">
        <f>C134+2</f>
        <v>7</v>
      </c>
      <c r="D135" s="23">
        <f>D134+3</f>
        <v>13</v>
      </c>
      <c r="E135" s="23">
        <v>420.45</v>
      </c>
      <c r="F135" s="23">
        <v>7.61</v>
      </c>
      <c r="G135" s="23">
        <f t="shared" si="43"/>
        <v>55.249671484888303</v>
      </c>
      <c r="H135" s="15">
        <v>7</v>
      </c>
      <c r="I135" s="15">
        <v>8</v>
      </c>
      <c r="J135" s="15">
        <f t="shared" si="42"/>
        <v>14</v>
      </c>
      <c r="K135" s="15">
        <f t="shared" si="42"/>
        <v>15</v>
      </c>
      <c r="L135" s="15">
        <v>-17.100000000000001</v>
      </c>
      <c r="M135" s="15">
        <v>6.61</v>
      </c>
      <c r="N135" s="15">
        <f t="shared" si="44"/>
        <v>2.5869894099848714</v>
      </c>
      <c r="O135" s="15">
        <v>22</v>
      </c>
      <c r="P135" s="15">
        <f t="shared" si="35"/>
        <v>4</v>
      </c>
      <c r="Q135" s="15">
        <f t="shared" si="37"/>
        <v>10</v>
      </c>
      <c r="R135" s="15"/>
      <c r="S135" s="15"/>
    </row>
    <row r="136" spans="1:19" x14ac:dyDescent="0.15">
      <c r="A136" s="23">
        <v>19</v>
      </c>
      <c r="B136" s="17">
        <f>B135+1</f>
        <v>2</v>
      </c>
      <c r="C136" s="23">
        <f>C135+2</f>
        <v>9</v>
      </c>
      <c r="D136" s="23">
        <f>D135+3</f>
        <v>16</v>
      </c>
      <c r="E136" s="23">
        <v>253.8</v>
      </c>
      <c r="F136" s="23">
        <v>8.07</v>
      </c>
      <c r="G136" s="23">
        <f t="shared" si="43"/>
        <v>31.449814126394052</v>
      </c>
      <c r="H136" s="15">
        <v>7</v>
      </c>
      <c r="I136" s="15">
        <v>8</v>
      </c>
      <c r="J136" s="15">
        <f t="shared" si="42"/>
        <v>15</v>
      </c>
      <c r="K136" s="15">
        <f t="shared" si="42"/>
        <v>16</v>
      </c>
      <c r="L136" s="15">
        <v>-13.99</v>
      </c>
      <c r="M136" s="15">
        <v>6.51</v>
      </c>
      <c r="N136" s="15">
        <f t="shared" si="44"/>
        <v>2.1490015360983103</v>
      </c>
      <c r="O136" s="15">
        <v>23</v>
      </c>
      <c r="P136" s="15">
        <v>24</v>
      </c>
      <c r="Q136" s="15">
        <v>1</v>
      </c>
      <c r="R136" s="15"/>
      <c r="S136" s="15"/>
    </row>
    <row r="137" spans="1:19" x14ac:dyDescent="0.15">
      <c r="A137" s="23">
        <v>20</v>
      </c>
      <c r="B137" s="17">
        <f>A137+1</f>
        <v>21</v>
      </c>
      <c r="C137" s="23">
        <f>B137+1</f>
        <v>22</v>
      </c>
      <c r="D137" s="23">
        <f>C137+1</f>
        <v>23</v>
      </c>
      <c r="E137" s="23">
        <v>2064.39</v>
      </c>
      <c r="F137" s="23">
        <v>8.98</v>
      </c>
      <c r="G137" s="23">
        <f t="shared" si="43"/>
        <v>229.88752783964364</v>
      </c>
      <c r="H137" s="15">
        <v>7</v>
      </c>
      <c r="I137" s="15">
        <v>8</v>
      </c>
      <c r="J137" s="15">
        <f t="shared" si="42"/>
        <v>16</v>
      </c>
      <c r="K137" s="15">
        <f t="shared" si="42"/>
        <v>17</v>
      </c>
      <c r="L137" s="15">
        <v>-13.73</v>
      </c>
      <c r="M137" s="15">
        <v>6.44</v>
      </c>
      <c r="N137" s="15">
        <f t="shared" si="44"/>
        <v>2.1319875776397517</v>
      </c>
      <c r="O137" s="15">
        <v>23</v>
      </c>
      <c r="P137" s="15">
        <v>1</v>
      </c>
      <c r="Q137" s="15">
        <f t="shared" si="37"/>
        <v>3</v>
      </c>
      <c r="R137" s="15"/>
      <c r="S137" s="15"/>
    </row>
    <row r="138" spans="1:19" x14ac:dyDescent="0.15">
      <c r="A138" s="23">
        <v>20</v>
      </c>
      <c r="B138" s="17">
        <f>B137+1</f>
        <v>22</v>
      </c>
      <c r="C138" s="23">
        <f>C137+2</f>
        <v>24</v>
      </c>
      <c r="D138" s="23">
        <v>2</v>
      </c>
      <c r="E138" s="23">
        <v>931.6</v>
      </c>
      <c r="F138" s="23">
        <v>7.05</v>
      </c>
      <c r="G138" s="23">
        <f t="shared" si="43"/>
        <v>132.1418439716312</v>
      </c>
      <c r="H138" s="15">
        <v>7</v>
      </c>
      <c r="I138" s="15">
        <v>8</v>
      </c>
      <c r="J138" s="15">
        <f t="shared" si="42"/>
        <v>17</v>
      </c>
      <c r="K138" s="15">
        <f t="shared" si="42"/>
        <v>18</v>
      </c>
      <c r="L138" s="15">
        <v>-10.83</v>
      </c>
      <c r="M138" s="15">
        <v>6.94</v>
      </c>
      <c r="N138" s="15">
        <f t="shared" si="44"/>
        <v>1.5605187319884726</v>
      </c>
      <c r="O138" s="15">
        <v>23</v>
      </c>
      <c r="P138" s="15">
        <f t="shared" si="35"/>
        <v>2</v>
      </c>
      <c r="Q138" s="15">
        <f t="shared" si="37"/>
        <v>5</v>
      </c>
      <c r="R138" s="15"/>
      <c r="S138" s="15"/>
    </row>
    <row r="139" spans="1:19" x14ac:dyDescent="0.15">
      <c r="A139" s="23">
        <v>20</v>
      </c>
      <c r="B139" s="17">
        <f>B138+1</f>
        <v>23</v>
      </c>
      <c r="C139" s="23">
        <v>2</v>
      </c>
      <c r="D139" s="23">
        <f>D138+3</f>
        <v>5</v>
      </c>
      <c r="E139" s="22">
        <v>758.59</v>
      </c>
      <c r="F139" s="22">
        <v>7.93</v>
      </c>
      <c r="G139" s="23">
        <f t="shared" si="43"/>
        <v>95.660781841109724</v>
      </c>
      <c r="H139" s="15">
        <v>7</v>
      </c>
      <c r="I139" s="15">
        <v>8</v>
      </c>
      <c r="J139" s="15">
        <f t="shared" si="42"/>
        <v>18</v>
      </c>
      <c r="K139" s="15">
        <f t="shared" si="42"/>
        <v>19</v>
      </c>
      <c r="L139" s="15">
        <v>-10.42</v>
      </c>
      <c r="M139" s="15">
        <v>6.91</v>
      </c>
      <c r="N139" s="15">
        <f t="shared" si="44"/>
        <v>1.507959479015919</v>
      </c>
      <c r="O139" s="15">
        <v>23</v>
      </c>
      <c r="P139" s="15">
        <f t="shared" si="35"/>
        <v>3</v>
      </c>
      <c r="Q139" s="15">
        <f t="shared" si="37"/>
        <v>7</v>
      </c>
      <c r="R139" s="15"/>
      <c r="S139" s="15"/>
    </row>
    <row r="140" spans="1:19" x14ac:dyDescent="0.15">
      <c r="A140" s="23">
        <v>20</v>
      </c>
      <c r="B140" s="17">
        <f>B139+1</f>
        <v>24</v>
      </c>
      <c r="C140" s="23">
        <f>C139+2</f>
        <v>4</v>
      </c>
      <c r="D140" s="23">
        <f>D139+3</f>
        <v>8</v>
      </c>
      <c r="E140" s="23">
        <v>561.97</v>
      </c>
      <c r="F140" s="23">
        <v>6.35</v>
      </c>
      <c r="G140" s="23">
        <f t="shared" si="43"/>
        <v>88.499212598425203</v>
      </c>
      <c r="H140" s="15">
        <v>7</v>
      </c>
      <c r="I140" s="15">
        <v>8</v>
      </c>
      <c r="J140" s="15">
        <f t="shared" si="42"/>
        <v>19</v>
      </c>
      <c r="K140" s="15">
        <f t="shared" si="42"/>
        <v>20</v>
      </c>
      <c r="L140" s="15">
        <v>-9.86</v>
      </c>
      <c r="M140" s="15">
        <v>6.95</v>
      </c>
      <c r="N140" s="15">
        <f t="shared" si="44"/>
        <v>1.418705035971223</v>
      </c>
      <c r="O140" s="15">
        <v>23</v>
      </c>
      <c r="P140" s="15">
        <f t="shared" si="35"/>
        <v>4</v>
      </c>
      <c r="Q140" s="15">
        <f t="shared" si="37"/>
        <v>9</v>
      </c>
      <c r="R140" s="15"/>
      <c r="S140" s="15"/>
    </row>
    <row r="141" spans="1:19" x14ac:dyDescent="0.15">
      <c r="A141" s="23">
        <v>20</v>
      </c>
      <c r="B141" s="17">
        <v>1</v>
      </c>
      <c r="C141" s="23">
        <f>C140+2</f>
        <v>6</v>
      </c>
      <c r="D141" s="23">
        <f>D140+3</f>
        <v>11</v>
      </c>
      <c r="E141" s="23">
        <v>446.84</v>
      </c>
      <c r="F141" s="23">
        <v>6.35</v>
      </c>
      <c r="G141" s="23">
        <f t="shared" si="43"/>
        <v>70.368503937007873</v>
      </c>
      <c r="H141" s="15">
        <v>7</v>
      </c>
      <c r="I141" s="15">
        <v>8</v>
      </c>
      <c r="J141" s="15">
        <f t="shared" si="42"/>
        <v>20</v>
      </c>
      <c r="K141" s="15">
        <f t="shared" si="42"/>
        <v>21</v>
      </c>
      <c r="L141" s="15">
        <v>-10.56</v>
      </c>
      <c r="M141" s="15">
        <v>7.08</v>
      </c>
      <c r="N141" s="15">
        <f t="shared" si="44"/>
        <v>1.4915254237288136</v>
      </c>
      <c r="O141" s="15">
        <v>23</v>
      </c>
      <c r="P141" s="15">
        <f t="shared" si="35"/>
        <v>5</v>
      </c>
      <c r="Q141" s="15">
        <f t="shared" si="37"/>
        <v>11</v>
      </c>
      <c r="R141" s="15"/>
      <c r="S141" s="15"/>
    </row>
    <row r="142" spans="1:19" x14ac:dyDescent="0.15">
      <c r="A142" s="23">
        <v>20</v>
      </c>
      <c r="B142" s="17">
        <f>B141+1</f>
        <v>2</v>
      </c>
      <c r="C142" s="23">
        <f>C141+2</f>
        <v>8</v>
      </c>
      <c r="D142" s="23">
        <f>D141+3</f>
        <v>14</v>
      </c>
      <c r="E142" s="23">
        <v>386.45</v>
      </c>
      <c r="F142" s="23">
        <v>6.97</v>
      </c>
      <c r="G142" s="23">
        <f t="shared" si="43"/>
        <v>55.444763271162124</v>
      </c>
      <c r="H142" s="15">
        <v>7</v>
      </c>
      <c r="I142" s="15">
        <v>8</v>
      </c>
      <c r="J142" s="15">
        <f t="shared" si="42"/>
        <v>21</v>
      </c>
      <c r="K142" s="15">
        <f t="shared" si="42"/>
        <v>22</v>
      </c>
      <c r="L142" s="15">
        <v>-11.16</v>
      </c>
      <c r="M142" s="15">
        <v>7.16</v>
      </c>
      <c r="N142" s="15">
        <f t="shared" si="44"/>
        <v>1.558659217877095</v>
      </c>
      <c r="O142" s="15">
        <v>24</v>
      </c>
      <c r="P142" s="15">
        <v>1</v>
      </c>
      <c r="Q142" s="15">
        <v>2</v>
      </c>
      <c r="R142" s="15"/>
      <c r="S142" s="15"/>
    </row>
    <row r="143" spans="1:19" x14ac:dyDescent="0.15">
      <c r="A143" s="23">
        <v>20</v>
      </c>
      <c r="B143" s="17">
        <f>B142+1</f>
        <v>3</v>
      </c>
      <c r="C143" s="23">
        <f>C142+2</f>
        <v>10</v>
      </c>
      <c r="D143" s="23">
        <f>D142+3</f>
        <v>17</v>
      </c>
      <c r="E143" s="23">
        <v>221.38</v>
      </c>
      <c r="F143" s="23">
        <v>7.15</v>
      </c>
      <c r="G143" s="23">
        <f t="shared" si="43"/>
        <v>30.962237762237759</v>
      </c>
      <c r="H143" s="15">
        <v>7</v>
      </c>
      <c r="I143" s="15">
        <v>8</v>
      </c>
      <c r="J143" s="15">
        <f t="shared" si="42"/>
        <v>22</v>
      </c>
      <c r="K143" s="15">
        <f t="shared" si="42"/>
        <v>23</v>
      </c>
      <c r="L143" s="15">
        <v>-13.19</v>
      </c>
      <c r="M143" s="15">
        <v>7.26</v>
      </c>
      <c r="N143" s="15">
        <f t="shared" si="44"/>
        <v>1.8168044077134986</v>
      </c>
      <c r="O143" s="15">
        <v>24</v>
      </c>
      <c r="P143" s="15">
        <f t="shared" si="35"/>
        <v>2</v>
      </c>
      <c r="Q143" s="15">
        <f t="shared" si="37"/>
        <v>4</v>
      </c>
      <c r="R143" s="15"/>
      <c r="S143" s="15"/>
    </row>
    <row r="144" spans="1:19" x14ac:dyDescent="0.15">
      <c r="A144" s="23">
        <v>21</v>
      </c>
      <c r="B144" s="17">
        <f>A144+1</f>
        <v>22</v>
      </c>
      <c r="C144" s="23">
        <f>B144+1</f>
        <v>23</v>
      </c>
      <c r="D144" s="23">
        <f>C144+1</f>
        <v>24</v>
      </c>
      <c r="E144" s="23">
        <v>1564.99</v>
      </c>
      <c r="F144" s="23">
        <v>6.61</v>
      </c>
      <c r="G144" s="23">
        <f t="shared" si="43"/>
        <v>236.76096822995461</v>
      </c>
      <c r="H144" s="15">
        <v>7</v>
      </c>
      <c r="I144" s="15">
        <v>8</v>
      </c>
      <c r="J144" s="15">
        <f t="shared" si="42"/>
        <v>23</v>
      </c>
      <c r="K144" s="15">
        <f t="shared" si="42"/>
        <v>24</v>
      </c>
      <c r="L144" s="15">
        <v>-14.38</v>
      </c>
      <c r="M144" s="15">
        <v>7.33</v>
      </c>
      <c r="N144" s="15">
        <f t="shared" si="44"/>
        <v>1.9618008185538882</v>
      </c>
      <c r="O144" s="15">
        <v>24</v>
      </c>
      <c r="P144" s="15">
        <f t="shared" si="35"/>
        <v>3</v>
      </c>
      <c r="Q144" s="15">
        <f t="shared" si="37"/>
        <v>6</v>
      </c>
      <c r="R144" s="15"/>
      <c r="S144" s="15"/>
    </row>
    <row r="145" spans="1:19" x14ac:dyDescent="0.15">
      <c r="A145" s="23">
        <v>21</v>
      </c>
      <c r="B145" s="17">
        <f>B144+1</f>
        <v>23</v>
      </c>
      <c r="C145" s="23">
        <v>1</v>
      </c>
      <c r="D145" s="23">
        <v>3</v>
      </c>
      <c r="E145" s="23">
        <v>836.48</v>
      </c>
      <c r="F145" s="23">
        <v>6.57</v>
      </c>
      <c r="G145" s="23">
        <f t="shared" si="43"/>
        <v>127.31811263318113</v>
      </c>
      <c r="H145" s="15">
        <v>7</v>
      </c>
      <c r="I145" s="15">
        <v>8</v>
      </c>
      <c r="J145" s="15">
        <f>J144+1</f>
        <v>24</v>
      </c>
      <c r="K145" s="15">
        <v>1</v>
      </c>
      <c r="L145" s="15">
        <v>-17.57</v>
      </c>
      <c r="M145" s="15">
        <v>6.69</v>
      </c>
      <c r="N145" s="15">
        <f t="shared" si="44"/>
        <v>2.6263079222720478</v>
      </c>
      <c r="O145" s="15">
        <v>24</v>
      </c>
      <c r="P145" s="15">
        <f t="shared" si="35"/>
        <v>4</v>
      </c>
      <c r="Q145" s="15">
        <f t="shared" si="37"/>
        <v>8</v>
      </c>
      <c r="R145" s="15"/>
      <c r="S145" s="15"/>
    </row>
    <row r="146" spans="1:19" x14ac:dyDescent="0.15">
      <c r="A146" s="23">
        <v>21</v>
      </c>
      <c r="B146" s="17">
        <f>B145+1</f>
        <v>24</v>
      </c>
      <c r="C146" s="23">
        <f>C145+2</f>
        <v>3</v>
      </c>
      <c r="D146" s="23">
        <f>D145+3</f>
        <v>6</v>
      </c>
      <c r="E146" s="23">
        <v>694.07</v>
      </c>
      <c r="F146" s="23">
        <v>6.67</v>
      </c>
      <c r="G146" s="23">
        <f t="shared" si="43"/>
        <v>104.0584707646177</v>
      </c>
      <c r="H146" s="15">
        <v>7</v>
      </c>
      <c r="I146" s="15">
        <v>8</v>
      </c>
      <c r="J146" s="15">
        <v>1</v>
      </c>
      <c r="K146" s="15">
        <f>K145+1</f>
        <v>2</v>
      </c>
      <c r="L146" s="15">
        <v>-26.11</v>
      </c>
      <c r="M146" s="15">
        <v>6.73</v>
      </c>
      <c r="N146" s="15">
        <f t="shared" si="44"/>
        <v>3.8796433878157499</v>
      </c>
      <c r="O146" s="15">
        <v>24</v>
      </c>
      <c r="P146" s="15">
        <f t="shared" si="35"/>
        <v>5</v>
      </c>
      <c r="Q146" s="15">
        <f t="shared" si="37"/>
        <v>10</v>
      </c>
      <c r="R146" s="15"/>
      <c r="S146" s="15"/>
    </row>
    <row r="147" spans="1:19" x14ac:dyDescent="0.15">
      <c r="A147" s="23">
        <v>21</v>
      </c>
      <c r="B147" s="17">
        <v>1</v>
      </c>
      <c r="C147" s="23">
        <f>C146+2</f>
        <v>5</v>
      </c>
      <c r="D147" s="23">
        <f>D146+3</f>
        <v>9</v>
      </c>
      <c r="E147" s="23">
        <v>565.66999999999996</v>
      </c>
      <c r="F147" s="23">
        <v>6.74</v>
      </c>
      <c r="G147" s="23">
        <f t="shared" si="43"/>
        <v>83.927299703264083</v>
      </c>
      <c r="H147" s="15">
        <v>7</v>
      </c>
      <c r="I147" s="15">
        <v>8</v>
      </c>
      <c r="J147" s="15">
        <f>J146+1</f>
        <v>2</v>
      </c>
      <c r="K147" s="15">
        <f>K146+1</f>
        <v>3</v>
      </c>
      <c r="L147" s="15">
        <v>-37.08</v>
      </c>
      <c r="M147" s="15">
        <v>6.88</v>
      </c>
      <c r="N147" s="15">
        <f t="shared" si="44"/>
        <v>5.3895348837209305</v>
      </c>
      <c r="O147" s="15">
        <v>24</v>
      </c>
      <c r="P147" s="15">
        <f t="shared" si="35"/>
        <v>6</v>
      </c>
      <c r="Q147" s="15">
        <f t="shared" si="37"/>
        <v>12</v>
      </c>
      <c r="R147" s="15"/>
      <c r="S147" s="15"/>
    </row>
    <row r="148" spans="1:19" x14ac:dyDescent="0.15">
      <c r="A148" s="23">
        <v>21</v>
      </c>
      <c r="B148" s="17">
        <f>B147+1</f>
        <v>2</v>
      </c>
      <c r="C148" s="23">
        <f>C147+2</f>
        <v>7</v>
      </c>
      <c r="D148" s="23">
        <f>D147+3</f>
        <v>12</v>
      </c>
      <c r="E148" s="23">
        <v>509.52</v>
      </c>
      <c r="F148" s="23">
        <v>6.87</v>
      </c>
      <c r="G148" s="23">
        <f t="shared" si="43"/>
        <v>74.165938864628814</v>
      </c>
      <c r="H148" s="15">
        <v>7</v>
      </c>
      <c r="I148" s="15">
        <v>8</v>
      </c>
      <c r="J148" s="15">
        <f>J147+1</f>
        <v>3</v>
      </c>
      <c r="K148" s="15">
        <f>K147+1</f>
        <v>4</v>
      </c>
      <c r="L148" s="15">
        <v>-63.53</v>
      </c>
      <c r="M148" s="15">
        <v>6.75</v>
      </c>
      <c r="N148" s="15">
        <f t="shared" si="44"/>
        <v>9.4118518518518517</v>
      </c>
      <c r="O148" s="15"/>
      <c r="P148" s="15"/>
      <c r="Q148" s="15"/>
      <c r="R148" s="15"/>
      <c r="S148" s="15"/>
    </row>
    <row r="149" spans="1:19" x14ac:dyDescent="0.15">
      <c r="A149" s="23">
        <v>21</v>
      </c>
      <c r="B149" s="17">
        <f>B148+1</f>
        <v>3</v>
      </c>
      <c r="C149" s="23">
        <f>C148+2</f>
        <v>9</v>
      </c>
      <c r="D149" s="23">
        <f>D148+3</f>
        <v>15</v>
      </c>
      <c r="E149" s="23">
        <v>437.87</v>
      </c>
      <c r="F149" s="23">
        <v>7.93</v>
      </c>
      <c r="G149" s="23">
        <f t="shared" si="43"/>
        <v>55.21689785624212</v>
      </c>
      <c r="H149" s="15">
        <v>7</v>
      </c>
      <c r="I149" s="15">
        <v>8</v>
      </c>
      <c r="J149" s="15">
        <f>J148+1</f>
        <v>4</v>
      </c>
      <c r="K149" s="15">
        <f>K148+1</f>
        <v>5</v>
      </c>
      <c r="L149" s="15">
        <v>-157.47999999999999</v>
      </c>
      <c r="M149" s="15">
        <v>6.72</v>
      </c>
      <c r="N149" s="15">
        <f t="shared" si="44"/>
        <v>23.43452380952381</v>
      </c>
      <c r="O149" s="15"/>
      <c r="P149" s="15"/>
      <c r="Q149" s="15"/>
      <c r="R149" s="15"/>
      <c r="S149" s="15"/>
    </row>
    <row r="150" spans="1:19" x14ac:dyDescent="0.15">
      <c r="A150" s="23">
        <v>21</v>
      </c>
      <c r="B150" s="17">
        <f>B149+1</f>
        <v>4</v>
      </c>
      <c r="C150" s="23">
        <f>C149+2</f>
        <v>11</v>
      </c>
      <c r="D150" s="23">
        <f>D149+3</f>
        <v>18</v>
      </c>
      <c r="E150" s="23">
        <v>172.65</v>
      </c>
      <c r="F150" s="23">
        <v>5.72</v>
      </c>
      <c r="G150" s="23">
        <f t="shared" si="43"/>
        <v>30.183566433566437</v>
      </c>
      <c r="H150" s="15">
        <v>7</v>
      </c>
      <c r="I150" s="15">
        <v>8</v>
      </c>
      <c r="J150" s="15">
        <f>J149+1</f>
        <v>5</v>
      </c>
      <c r="K150" s="15">
        <f>K149+1</f>
        <v>6</v>
      </c>
      <c r="L150" s="15">
        <v>-563.01</v>
      </c>
      <c r="M150" s="15">
        <v>6.67</v>
      </c>
      <c r="N150" s="15">
        <f t="shared" si="44"/>
        <v>84.409295352323838</v>
      </c>
      <c r="O150" s="15"/>
      <c r="P150" s="15"/>
      <c r="Q150" s="15"/>
      <c r="R150" s="15"/>
      <c r="S150" s="15"/>
    </row>
    <row r="151" spans="1:19" x14ac:dyDescent="0.15">
      <c r="A151" s="23">
        <v>22</v>
      </c>
      <c r="B151" s="17">
        <f>A151+1</f>
        <v>23</v>
      </c>
      <c r="C151" s="23">
        <f>B151+1</f>
        <v>24</v>
      </c>
      <c r="D151" s="23">
        <v>1</v>
      </c>
      <c r="E151" s="23">
        <v>1905.36</v>
      </c>
      <c r="F151" s="23">
        <v>8.41</v>
      </c>
      <c r="G151" s="23">
        <f t="shared" si="43"/>
        <v>226.55885850178356</v>
      </c>
      <c r="H151" s="15">
        <v>8</v>
      </c>
      <c r="I151" s="15">
        <v>9</v>
      </c>
      <c r="J151" s="15">
        <f>I151+1</f>
        <v>10</v>
      </c>
      <c r="K151" s="15">
        <f>J151+1</f>
        <v>11</v>
      </c>
      <c r="L151" s="15">
        <v>-535.24</v>
      </c>
      <c r="M151" s="15">
        <v>7.57</v>
      </c>
      <c r="N151" s="15">
        <f t="shared" si="44"/>
        <v>70.705416116248344</v>
      </c>
      <c r="O151" s="15"/>
      <c r="P151" s="15"/>
      <c r="Q151" s="15"/>
      <c r="R151" s="15"/>
      <c r="S151" s="15"/>
    </row>
    <row r="152" spans="1:19" x14ac:dyDescent="0.15">
      <c r="A152" s="23">
        <v>22</v>
      </c>
      <c r="B152" s="17">
        <f>B151+1</f>
        <v>24</v>
      </c>
      <c r="C152" s="23">
        <v>2</v>
      </c>
      <c r="D152" s="23">
        <f t="shared" ref="D152:D157" si="45">D151+3</f>
        <v>4</v>
      </c>
      <c r="E152" s="23">
        <v>922.29</v>
      </c>
      <c r="F152" s="23">
        <v>6.91</v>
      </c>
      <c r="G152" s="23">
        <f t="shared" si="43"/>
        <v>133.47178002894356</v>
      </c>
      <c r="H152" s="15">
        <v>8</v>
      </c>
      <c r="I152" s="15">
        <v>9</v>
      </c>
      <c r="J152" s="15">
        <f t="shared" ref="J152:K164" si="46">J151+1</f>
        <v>11</v>
      </c>
      <c r="K152" s="15">
        <f t="shared" si="46"/>
        <v>12</v>
      </c>
      <c r="L152" s="15">
        <v>-150.66999999999999</v>
      </c>
      <c r="M152" s="15">
        <v>7.34</v>
      </c>
      <c r="N152" s="15">
        <f t="shared" si="44"/>
        <v>20.527247956403269</v>
      </c>
      <c r="O152" s="15"/>
      <c r="P152" s="15"/>
      <c r="Q152" s="15"/>
      <c r="R152" s="15"/>
      <c r="S152" s="15"/>
    </row>
    <row r="153" spans="1:19" x14ac:dyDescent="0.15">
      <c r="A153" s="23">
        <v>22</v>
      </c>
      <c r="B153" s="17">
        <v>1</v>
      </c>
      <c r="C153" s="23">
        <f>C152+2</f>
        <v>4</v>
      </c>
      <c r="D153" s="23">
        <f t="shared" si="45"/>
        <v>7</v>
      </c>
      <c r="E153" s="23">
        <v>758.63</v>
      </c>
      <c r="F153" s="23">
        <v>7.05</v>
      </c>
      <c r="G153" s="23">
        <f t="shared" si="43"/>
        <v>107.60709219858157</v>
      </c>
      <c r="H153" s="15">
        <v>8</v>
      </c>
      <c r="I153" s="15">
        <v>9</v>
      </c>
      <c r="J153" s="15">
        <f t="shared" si="46"/>
        <v>12</v>
      </c>
      <c r="K153" s="15">
        <f t="shared" si="46"/>
        <v>13</v>
      </c>
      <c r="L153" s="15">
        <v>-61.7</v>
      </c>
      <c r="M153" s="15">
        <v>7.35</v>
      </c>
      <c r="N153" s="15">
        <f t="shared" si="44"/>
        <v>8.3945578231292526</v>
      </c>
      <c r="O153" s="15"/>
      <c r="P153" s="15"/>
      <c r="Q153" s="15"/>
      <c r="R153" s="15"/>
      <c r="S153" s="15"/>
    </row>
    <row r="154" spans="1:19" x14ac:dyDescent="0.15">
      <c r="A154" s="23">
        <v>22</v>
      </c>
      <c r="B154" s="17">
        <f>B153+1</f>
        <v>2</v>
      </c>
      <c r="C154" s="23">
        <f>C153+2</f>
        <v>6</v>
      </c>
      <c r="D154" s="23">
        <f t="shared" si="45"/>
        <v>10</v>
      </c>
      <c r="E154" s="23">
        <v>623.26</v>
      </c>
      <c r="F154" s="23">
        <v>7.82</v>
      </c>
      <c r="G154" s="23">
        <f t="shared" si="43"/>
        <v>79.70076726342711</v>
      </c>
      <c r="H154" s="15">
        <v>8</v>
      </c>
      <c r="I154" s="15">
        <v>9</v>
      </c>
      <c r="J154" s="15">
        <f t="shared" si="46"/>
        <v>13</v>
      </c>
      <c r="K154" s="15">
        <f t="shared" si="46"/>
        <v>14</v>
      </c>
      <c r="L154" s="15">
        <v>-38.81</v>
      </c>
      <c r="M154" s="15">
        <v>7.33</v>
      </c>
      <c r="N154" s="15">
        <f t="shared" si="44"/>
        <v>5.2946793997271486</v>
      </c>
      <c r="O154" s="15"/>
      <c r="P154" s="15"/>
      <c r="Q154" s="15"/>
      <c r="R154" s="15"/>
      <c r="S154" s="15"/>
    </row>
    <row r="155" spans="1:19" x14ac:dyDescent="0.15">
      <c r="A155" s="23">
        <v>22</v>
      </c>
      <c r="B155" s="17">
        <f>B154+1</f>
        <v>3</v>
      </c>
      <c r="C155" s="23">
        <f>C154+2</f>
        <v>8</v>
      </c>
      <c r="D155" s="23">
        <f t="shared" si="45"/>
        <v>13</v>
      </c>
      <c r="E155" s="23">
        <v>589.92999999999995</v>
      </c>
      <c r="F155" s="23">
        <v>7.83</v>
      </c>
      <c r="G155" s="23">
        <f t="shared" si="43"/>
        <v>75.342273307790549</v>
      </c>
      <c r="H155" s="15">
        <v>8</v>
      </c>
      <c r="I155" s="15">
        <v>9</v>
      </c>
      <c r="J155" s="15">
        <f t="shared" si="46"/>
        <v>14</v>
      </c>
      <c r="K155" s="15">
        <f t="shared" si="46"/>
        <v>15</v>
      </c>
      <c r="L155" s="15">
        <v>-24.44</v>
      </c>
      <c r="M155" s="15">
        <v>7.31</v>
      </c>
      <c r="N155" s="15">
        <f t="shared" si="44"/>
        <v>3.3433652530779758</v>
      </c>
      <c r="O155" s="15"/>
      <c r="P155" s="15"/>
      <c r="Q155" s="15"/>
      <c r="R155" s="15"/>
      <c r="S155" s="15"/>
    </row>
    <row r="156" spans="1:19" x14ac:dyDescent="0.15">
      <c r="A156" s="23">
        <v>22</v>
      </c>
      <c r="B156" s="17">
        <f>B155+1</f>
        <v>4</v>
      </c>
      <c r="C156" s="23">
        <f>C155+2</f>
        <v>10</v>
      </c>
      <c r="D156" s="23">
        <f t="shared" si="45"/>
        <v>16</v>
      </c>
      <c r="E156" s="23">
        <v>445.34</v>
      </c>
      <c r="F156" s="23">
        <v>8.41</v>
      </c>
      <c r="G156" s="23">
        <f t="shared" si="43"/>
        <v>52.953626634958376</v>
      </c>
      <c r="H156" s="15">
        <v>8</v>
      </c>
      <c r="I156" s="15">
        <v>9</v>
      </c>
      <c r="J156" s="15">
        <f t="shared" si="46"/>
        <v>15</v>
      </c>
      <c r="K156" s="15">
        <f t="shared" si="46"/>
        <v>16</v>
      </c>
      <c r="L156" s="15">
        <v>-17.670000000000002</v>
      </c>
      <c r="M156" s="15">
        <v>7.13</v>
      </c>
      <c r="N156" s="15">
        <f t="shared" si="44"/>
        <v>2.4782608695652177</v>
      </c>
      <c r="O156" s="15"/>
      <c r="P156" s="15"/>
      <c r="Q156" s="15"/>
      <c r="R156" s="15"/>
      <c r="S156" s="15"/>
    </row>
    <row r="157" spans="1:19" x14ac:dyDescent="0.15">
      <c r="A157" s="23">
        <v>22</v>
      </c>
      <c r="B157" s="17">
        <f>B156+1</f>
        <v>5</v>
      </c>
      <c r="C157" s="23">
        <f>C156+2</f>
        <v>12</v>
      </c>
      <c r="D157" s="23">
        <f t="shared" si="45"/>
        <v>19</v>
      </c>
      <c r="E157" s="23">
        <v>240.79</v>
      </c>
      <c r="F157" s="23">
        <v>8.3000000000000007</v>
      </c>
      <c r="G157" s="23">
        <f t="shared" si="43"/>
        <v>29.010843373493973</v>
      </c>
      <c r="H157" s="15">
        <v>8</v>
      </c>
      <c r="I157" s="15">
        <v>9</v>
      </c>
      <c r="J157" s="15">
        <f t="shared" si="46"/>
        <v>16</v>
      </c>
      <c r="K157" s="15">
        <f t="shared" si="46"/>
        <v>17</v>
      </c>
      <c r="L157" s="15">
        <v>-15.61</v>
      </c>
      <c r="M157" s="15">
        <v>7.05</v>
      </c>
      <c r="N157" s="15">
        <f t="shared" si="44"/>
        <v>2.2141843971631205</v>
      </c>
      <c r="O157" s="15"/>
      <c r="P157" s="15"/>
      <c r="Q157" s="15"/>
      <c r="R157" s="15"/>
      <c r="S157" s="15"/>
    </row>
    <row r="158" spans="1:19" x14ac:dyDescent="0.15">
      <c r="A158" s="23">
        <v>23</v>
      </c>
      <c r="B158" s="17">
        <f>A158+1</f>
        <v>24</v>
      </c>
      <c r="C158" s="23">
        <v>1</v>
      </c>
      <c r="D158" s="23">
        <v>2</v>
      </c>
      <c r="E158" s="23">
        <v>1449.7</v>
      </c>
      <c r="F158" s="23">
        <v>6.82</v>
      </c>
      <c r="G158" s="23">
        <f t="shared" si="43"/>
        <v>212.56598240469208</v>
      </c>
      <c r="H158" s="15">
        <v>8</v>
      </c>
      <c r="I158" s="15">
        <v>9</v>
      </c>
      <c r="J158" s="15">
        <f t="shared" si="46"/>
        <v>17</v>
      </c>
      <c r="K158" s="15">
        <f t="shared" si="46"/>
        <v>18</v>
      </c>
      <c r="L158" s="15">
        <v>-13.37</v>
      </c>
      <c r="M158" s="15">
        <v>8.18</v>
      </c>
      <c r="N158" s="15">
        <f t="shared" si="44"/>
        <v>1.6344743276283618</v>
      </c>
      <c r="O158" s="15"/>
      <c r="P158" s="15"/>
      <c r="Q158" s="15"/>
      <c r="R158" s="15"/>
      <c r="S158" s="15"/>
    </row>
    <row r="159" spans="1:19" x14ac:dyDescent="0.15">
      <c r="A159" s="23">
        <v>23</v>
      </c>
      <c r="B159" s="17">
        <v>1</v>
      </c>
      <c r="C159" s="23">
        <f t="shared" ref="C159:C164" si="47">C158+2</f>
        <v>3</v>
      </c>
      <c r="D159" s="23">
        <f t="shared" ref="D159:D164" si="48">D158+3</f>
        <v>5</v>
      </c>
      <c r="E159" s="23">
        <v>1174.23</v>
      </c>
      <c r="F159" s="23">
        <v>9.18</v>
      </c>
      <c r="G159" s="23">
        <f t="shared" si="43"/>
        <v>127.91176470588236</v>
      </c>
      <c r="H159" s="15">
        <v>8</v>
      </c>
      <c r="I159" s="15">
        <v>9</v>
      </c>
      <c r="J159" s="15">
        <f t="shared" si="46"/>
        <v>18</v>
      </c>
      <c r="K159" s="15">
        <f t="shared" si="46"/>
        <v>19</v>
      </c>
      <c r="L159" s="15">
        <v>-12.28</v>
      </c>
      <c r="M159" s="15">
        <v>8.0500000000000007</v>
      </c>
      <c r="N159" s="15">
        <f t="shared" si="44"/>
        <v>1.5254658385093165</v>
      </c>
      <c r="O159" s="15"/>
      <c r="P159" s="15"/>
      <c r="Q159" s="15"/>
      <c r="R159" s="15"/>
      <c r="S159" s="15"/>
    </row>
    <row r="160" spans="1:19" x14ac:dyDescent="0.15">
      <c r="A160" s="23">
        <v>23</v>
      </c>
      <c r="B160" s="17">
        <f>B159+1</f>
        <v>2</v>
      </c>
      <c r="C160" s="23">
        <f t="shared" si="47"/>
        <v>5</v>
      </c>
      <c r="D160" s="23">
        <f t="shared" si="48"/>
        <v>8</v>
      </c>
      <c r="E160" s="23">
        <v>827.6</v>
      </c>
      <c r="F160" s="22">
        <v>8.52</v>
      </c>
      <c r="G160" s="23">
        <f t="shared" si="43"/>
        <v>97.136150234741791</v>
      </c>
      <c r="H160" s="15">
        <v>8</v>
      </c>
      <c r="I160" s="15">
        <v>9</v>
      </c>
      <c r="J160" s="15">
        <f t="shared" si="46"/>
        <v>19</v>
      </c>
      <c r="K160" s="15">
        <f t="shared" si="46"/>
        <v>20</v>
      </c>
      <c r="L160" s="15">
        <v>-11.32</v>
      </c>
      <c r="M160" s="15">
        <v>8.07</v>
      </c>
      <c r="N160" s="15">
        <f t="shared" si="44"/>
        <v>1.40272614622057</v>
      </c>
      <c r="O160" s="15"/>
      <c r="P160" s="15"/>
      <c r="Q160" s="15"/>
      <c r="R160" s="15"/>
      <c r="S160" s="15"/>
    </row>
    <row r="161" spans="1:19" x14ac:dyDescent="0.15">
      <c r="A161" s="23">
        <v>23</v>
      </c>
      <c r="B161" s="17">
        <f>B160+1</f>
        <v>3</v>
      </c>
      <c r="C161" s="23">
        <f t="shared" si="47"/>
        <v>7</v>
      </c>
      <c r="D161" s="23">
        <f t="shared" si="48"/>
        <v>11</v>
      </c>
      <c r="E161" s="23">
        <v>546.76</v>
      </c>
      <c r="F161" s="23">
        <v>5.87</v>
      </c>
      <c r="G161" s="23">
        <f t="shared" si="43"/>
        <v>93.144804088586028</v>
      </c>
      <c r="H161" s="15">
        <v>8</v>
      </c>
      <c r="I161" s="15">
        <v>9</v>
      </c>
      <c r="J161" s="15">
        <f t="shared" si="46"/>
        <v>20</v>
      </c>
      <c r="K161" s="15">
        <f t="shared" si="46"/>
        <v>21</v>
      </c>
      <c r="L161" s="15">
        <v>-10.94</v>
      </c>
      <c r="M161" s="15">
        <v>8.0500000000000007</v>
      </c>
      <c r="N161" s="15">
        <f t="shared" si="44"/>
        <v>1.359006211180124</v>
      </c>
      <c r="O161" s="15"/>
      <c r="P161" s="15"/>
      <c r="Q161" s="15"/>
      <c r="R161" s="15"/>
      <c r="S161" s="15"/>
    </row>
    <row r="162" spans="1:19" x14ac:dyDescent="0.15">
      <c r="A162" s="23">
        <v>23</v>
      </c>
      <c r="B162" s="17">
        <f>B161+1</f>
        <v>4</v>
      </c>
      <c r="C162" s="23">
        <f t="shared" si="47"/>
        <v>9</v>
      </c>
      <c r="D162" s="23">
        <f t="shared" si="48"/>
        <v>14</v>
      </c>
      <c r="E162" s="23">
        <v>542.58000000000004</v>
      </c>
      <c r="F162" s="23">
        <v>7.29</v>
      </c>
      <c r="G162" s="23">
        <f t="shared" si="43"/>
        <v>74.427983539094654</v>
      </c>
      <c r="H162" s="15">
        <v>8</v>
      </c>
      <c r="I162" s="15">
        <v>9</v>
      </c>
      <c r="J162" s="15">
        <f t="shared" si="46"/>
        <v>21</v>
      </c>
      <c r="K162" s="15">
        <f t="shared" si="46"/>
        <v>22</v>
      </c>
      <c r="L162" s="15">
        <v>-11.14</v>
      </c>
      <c r="M162" s="15">
        <v>9</v>
      </c>
      <c r="N162" s="15">
        <f t="shared" si="44"/>
        <v>1.2377777777777779</v>
      </c>
      <c r="O162" s="15"/>
      <c r="P162" s="15"/>
      <c r="Q162" s="15"/>
      <c r="R162" s="15"/>
      <c r="S162" s="15"/>
    </row>
    <row r="163" spans="1:19" x14ac:dyDescent="0.15">
      <c r="A163" s="23">
        <v>23</v>
      </c>
      <c r="B163" s="17">
        <f>B162+1</f>
        <v>5</v>
      </c>
      <c r="C163" s="23">
        <f t="shared" si="47"/>
        <v>11</v>
      </c>
      <c r="D163" s="23">
        <f t="shared" si="48"/>
        <v>17</v>
      </c>
      <c r="E163" s="23">
        <v>418.08</v>
      </c>
      <c r="F163" s="23">
        <v>7.89</v>
      </c>
      <c r="G163" s="23">
        <f t="shared" si="43"/>
        <v>52.98859315589354</v>
      </c>
      <c r="H163" s="15">
        <v>8</v>
      </c>
      <c r="I163" s="15">
        <v>9</v>
      </c>
      <c r="J163" s="15">
        <f t="shared" si="46"/>
        <v>22</v>
      </c>
      <c r="K163" s="15">
        <f t="shared" si="46"/>
        <v>23</v>
      </c>
      <c r="L163" s="15">
        <v>-12.48</v>
      </c>
      <c r="M163" s="15">
        <v>8.08</v>
      </c>
      <c r="N163" s="15">
        <f t="shared" si="44"/>
        <v>1.5445544554455446</v>
      </c>
      <c r="O163" s="15"/>
      <c r="P163" s="15"/>
      <c r="Q163" s="15"/>
      <c r="R163" s="15"/>
      <c r="S163" s="15"/>
    </row>
    <row r="164" spans="1:19" x14ac:dyDescent="0.15">
      <c r="A164" s="23">
        <v>23</v>
      </c>
      <c r="B164" s="17">
        <f>B163+1</f>
        <v>6</v>
      </c>
      <c r="C164" s="23">
        <f t="shared" si="47"/>
        <v>13</v>
      </c>
      <c r="D164" s="23">
        <f t="shared" si="48"/>
        <v>20</v>
      </c>
      <c r="E164" s="23">
        <v>252.52</v>
      </c>
      <c r="F164" s="23">
        <v>8.66</v>
      </c>
      <c r="G164" s="23">
        <f t="shared" si="43"/>
        <v>29.159353348729791</v>
      </c>
      <c r="H164" s="15">
        <v>8</v>
      </c>
      <c r="I164" s="15">
        <v>9</v>
      </c>
      <c r="J164" s="15">
        <f t="shared" si="46"/>
        <v>23</v>
      </c>
      <c r="K164" s="15">
        <f t="shared" si="46"/>
        <v>24</v>
      </c>
      <c r="L164" s="15">
        <v>-12.97</v>
      </c>
      <c r="M164" s="15">
        <v>7.71</v>
      </c>
      <c r="N164" s="15">
        <f t="shared" si="44"/>
        <v>1.682230869001297</v>
      </c>
      <c r="O164" s="15"/>
      <c r="P164" s="15"/>
      <c r="Q164" s="15"/>
      <c r="R164" s="15"/>
      <c r="S164" s="15"/>
    </row>
    <row r="165" spans="1:19" x14ac:dyDescent="0.15">
      <c r="A165" s="23">
        <v>24</v>
      </c>
      <c r="B165" s="17">
        <v>1</v>
      </c>
      <c r="C165" s="23">
        <v>2</v>
      </c>
      <c r="D165" s="23">
        <f>C165+1</f>
        <v>3</v>
      </c>
      <c r="E165" s="23">
        <v>1701.24</v>
      </c>
      <c r="F165" s="23">
        <v>6.87</v>
      </c>
      <c r="G165" s="23">
        <f t="shared" si="43"/>
        <v>247.63318777292577</v>
      </c>
      <c r="H165" s="15">
        <v>8</v>
      </c>
      <c r="I165" s="15">
        <v>9</v>
      </c>
      <c r="J165" s="15">
        <f>J164+1</f>
        <v>24</v>
      </c>
      <c r="K165" s="15">
        <v>1</v>
      </c>
      <c r="L165" s="15">
        <v>-15.47</v>
      </c>
      <c r="M165" s="15">
        <v>7.25</v>
      </c>
      <c r="N165" s="15">
        <f t="shared" si="44"/>
        <v>2.133793103448276</v>
      </c>
      <c r="O165" s="15"/>
      <c r="P165" s="15"/>
      <c r="Q165" s="15"/>
      <c r="R165" s="15"/>
      <c r="S165" s="15"/>
    </row>
    <row r="166" spans="1:19" x14ac:dyDescent="0.15">
      <c r="A166" s="23">
        <v>24</v>
      </c>
      <c r="B166" s="17">
        <f t="shared" ref="B166:B171" si="49">B165+1</f>
        <v>2</v>
      </c>
      <c r="C166" s="23">
        <f t="shared" ref="C166:C171" si="50">C165+2</f>
        <v>4</v>
      </c>
      <c r="D166" s="23">
        <f t="shared" ref="D166:D171" si="51">D165+3</f>
        <v>6</v>
      </c>
      <c r="E166" s="23">
        <v>904.22</v>
      </c>
      <c r="F166" s="23">
        <v>6.68</v>
      </c>
      <c r="G166" s="23">
        <f t="shared" si="43"/>
        <v>135.36227544910182</v>
      </c>
      <c r="H166" s="15">
        <v>8</v>
      </c>
      <c r="I166" s="15">
        <v>9</v>
      </c>
      <c r="J166" s="15">
        <v>1</v>
      </c>
      <c r="K166" s="15">
        <f t="shared" ref="K166:K171" si="52">K165+1</f>
        <v>2</v>
      </c>
      <c r="L166" s="15">
        <v>-21.2</v>
      </c>
      <c r="M166" s="15">
        <v>7.34</v>
      </c>
      <c r="N166" s="15">
        <f t="shared" si="44"/>
        <v>2.888283378746594</v>
      </c>
      <c r="O166" s="15"/>
      <c r="P166" s="15"/>
      <c r="Q166" s="15"/>
      <c r="R166" s="15"/>
      <c r="S166" s="15"/>
    </row>
    <row r="167" spans="1:19" x14ac:dyDescent="0.15">
      <c r="A167" s="23">
        <v>24</v>
      </c>
      <c r="B167" s="17">
        <f t="shared" si="49"/>
        <v>3</v>
      </c>
      <c r="C167" s="23">
        <f t="shared" si="50"/>
        <v>6</v>
      </c>
      <c r="D167" s="23">
        <f t="shared" si="51"/>
        <v>9</v>
      </c>
      <c r="E167" s="23">
        <v>745.5</v>
      </c>
      <c r="F167" s="23">
        <v>6.87</v>
      </c>
      <c r="G167" s="23">
        <f t="shared" si="43"/>
        <v>108.51528384279476</v>
      </c>
      <c r="H167" s="15">
        <v>8</v>
      </c>
      <c r="I167" s="15">
        <v>9</v>
      </c>
      <c r="J167" s="15">
        <f>J166+1</f>
        <v>2</v>
      </c>
      <c r="K167" s="15">
        <f t="shared" si="52"/>
        <v>3</v>
      </c>
      <c r="L167" s="15">
        <v>-26.17</v>
      </c>
      <c r="M167" s="15">
        <v>7.2</v>
      </c>
      <c r="N167" s="15">
        <f t="shared" si="44"/>
        <v>3.6347222222222224</v>
      </c>
      <c r="O167" s="15"/>
      <c r="P167" s="15"/>
      <c r="Q167" s="15"/>
      <c r="R167" s="15"/>
      <c r="S167" s="15"/>
    </row>
    <row r="168" spans="1:19" x14ac:dyDescent="0.15">
      <c r="A168" s="23">
        <v>24</v>
      </c>
      <c r="B168" s="17">
        <f t="shared" si="49"/>
        <v>4</v>
      </c>
      <c r="C168" s="23">
        <f t="shared" si="50"/>
        <v>8</v>
      </c>
      <c r="D168" s="23">
        <f t="shared" si="51"/>
        <v>12</v>
      </c>
      <c r="E168" s="23">
        <v>663.94</v>
      </c>
      <c r="F168" s="23">
        <v>7.17</v>
      </c>
      <c r="G168" s="23">
        <f t="shared" si="43"/>
        <v>92.599721059972111</v>
      </c>
      <c r="H168" s="15">
        <v>8</v>
      </c>
      <c r="I168" s="15">
        <v>9</v>
      </c>
      <c r="J168" s="15">
        <f>J167+1</f>
        <v>3</v>
      </c>
      <c r="K168" s="15">
        <f t="shared" si="52"/>
        <v>4</v>
      </c>
      <c r="L168" s="15">
        <v>-39.299999999999997</v>
      </c>
      <c r="M168" s="15">
        <v>7.56</v>
      </c>
      <c r="N168" s="15">
        <f t="shared" si="44"/>
        <v>5.1984126984126986</v>
      </c>
      <c r="O168" s="15"/>
      <c r="P168" s="15"/>
      <c r="Q168" s="15"/>
      <c r="R168" s="15"/>
      <c r="S168" s="15"/>
    </row>
    <row r="169" spans="1:19" x14ac:dyDescent="0.15">
      <c r="A169" s="23">
        <v>24</v>
      </c>
      <c r="B169" s="17">
        <f t="shared" si="49"/>
        <v>5</v>
      </c>
      <c r="C169" s="23">
        <f t="shared" si="50"/>
        <v>10</v>
      </c>
      <c r="D169" s="23">
        <f t="shared" si="51"/>
        <v>15</v>
      </c>
      <c r="E169" s="23">
        <v>570.58000000000004</v>
      </c>
      <c r="F169" s="23">
        <v>8.1</v>
      </c>
      <c r="G169" s="23">
        <f t="shared" si="43"/>
        <v>70.441975308641986</v>
      </c>
      <c r="H169" s="15">
        <v>8</v>
      </c>
      <c r="I169" s="15">
        <v>9</v>
      </c>
      <c r="J169" s="15">
        <f>J168+1</f>
        <v>4</v>
      </c>
      <c r="K169" s="15">
        <f t="shared" si="52"/>
        <v>5</v>
      </c>
      <c r="L169" s="15">
        <v>-71.569999999999993</v>
      </c>
      <c r="M169" s="15">
        <v>7.34</v>
      </c>
      <c r="N169" s="15">
        <f t="shared" si="44"/>
        <v>9.7506811989100814</v>
      </c>
      <c r="O169" s="15"/>
      <c r="P169" s="15"/>
      <c r="Q169" s="15"/>
      <c r="R169" s="15"/>
      <c r="S169" s="15"/>
    </row>
    <row r="170" spans="1:19" x14ac:dyDescent="0.15">
      <c r="A170" s="23">
        <v>24</v>
      </c>
      <c r="B170" s="17">
        <f t="shared" si="49"/>
        <v>6</v>
      </c>
      <c r="C170" s="23">
        <f t="shared" si="50"/>
        <v>12</v>
      </c>
      <c r="D170" s="23">
        <f t="shared" si="51"/>
        <v>18</v>
      </c>
      <c r="E170" s="23">
        <v>268.45999999999998</v>
      </c>
      <c r="F170" s="23">
        <v>5.14</v>
      </c>
      <c r="G170" s="23">
        <f t="shared" si="43"/>
        <v>52.2295719844358</v>
      </c>
      <c r="H170" s="15">
        <v>8</v>
      </c>
      <c r="I170" s="15">
        <v>9</v>
      </c>
      <c r="J170" s="15">
        <f>J169+1</f>
        <v>5</v>
      </c>
      <c r="K170" s="15">
        <f t="shared" si="52"/>
        <v>6</v>
      </c>
      <c r="L170" s="15">
        <v>-156.44</v>
      </c>
      <c r="M170" s="15">
        <v>7.4</v>
      </c>
      <c r="N170" s="15">
        <f t="shared" si="44"/>
        <v>21.140540540540538</v>
      </c>
      <c r="O170" s="15"/>
      <c r="P170" s="15"/>
      <c r="Q170" s="15"/>
      <c r="R170" s="15"/>
      <c r="S170" s="15"/>
    </row>
    <row r="171" spans="1:19" x14ac:dyDescent="0.15">
      <c r="A171" s="23">
        <v>24</v>
      </c>
      <c r="B171" s="17">
        <f t="shared" si="49"/>
        <v>7</v>
      </c>
      <c r="C171" s="23">
        <f t="shared" si="50"/>
        <v>14</v>
      </c>
      <c r="D171" s="23">
        <f t="shared" si="51"/>
        <v>21</v>
      </c>
      <c r="E171" s="23">
        <v>196.93</v>
      </c>
      <c r="F171" s="23">
        <v>6.92</v>
      </c>
      <c r="G171" s="23">
        <f t="shared" si="43"/>
        <v>28.458092485549134</v>
      </c>
      <c r="H171" s="15">
        <v>8</v>
      </c>
      <c r="I171" s="15">
        <v>9</v>
      </c>
      <c r="J171" s="15">
        <f>J170+1</f>
        <v>6</v>
      </c>
      <c r="K171" s="15">
        <f t="shared" si="52"/>
        <v>7</v>
      </c>
      <c r="L171" s="15">
        <v>-625.79</v>
      </c>
      <c r="M171" s="15">
        <v>7.6</v>
      </c>
      <c r="N171" s="15">
        <f t="shared" si="44"/>
        <v>82.340789473684211</v>
      </c>
      <c r="O171" s="15"/>
      <c r="P171" s="15"/>
      <c r="Q171" s="15"/>
      <c r="R171" s="15"/>
      <c r="S171" s="15"/>
    </row>
    <row r="172" spans="1:19" x14ac:dyDescent="0.15">
      <c r="A172" s="23"/>
      <c r="B172" s="23"/>
      <c r="C172" s="23"/>
      <c r="D172" s="23"/>
      <c r="E172" s="23"/>
      <c r="F172" s="23"/>
      <c r="G172" s="23"/>
      <c r="H172" s="15">
        <v>9</v>
      </c>
      <c r="I172" s="15">
        <v>10</v>
      </c>
      <c r="J172" s="15">
        <f>I172+1</f>
        <v>11</v>
      </c>
      <c r="K172" s="15">
        <f>J172+1</f>
        <v>12</v>
      </c>
      <c r="L172" s="15">
        <v>-579.75</v>
      </c>
      <c r="M172" s="15">
        <v>8.3000000000000007</v>
      </c>
      <c r="N172" s="15">
        <f t="shared" si="44"/>
        <v>69.849397590361434</v>
      </c>
      <c r="O172" s="15"/>
      <c r="P172" s="15"/>
      <c r="Q172" s="15"/>
      <c r="R172" s="15"/>
      <c r="S172" s="15"/>
    </row>
    <row r="173" spans="1:19" x14ac:dyDescent="0.15">
      <c r="A173" s="23"/>
      <c r="B173" s="23"/>
      <c r="C173" s="23"/>
      <c r="D173" s="23"/>
      <c r="E173" s="23"/>
      <c r="F173" s="23"/>
      <c r="G173" s="23"/>
      <c r="H173" s="15">
        <v>9</v>
      </c>
      <c r="I173" s="15">
        <v>10</v>
      </c>
      <c r="J173" s="15">
        <f t="shared" ref="J173:K184" si="53">J172+1</f>
        <v>12</v>
      </c>
      <c r="K173" s="15">
        <f t="shared" si="53"/>
        <v>13</v>
      </c>
      <c r="L173" s="15">
        <v>-145.36000000000001</v>
      </c>
      <c r="M173" s="15">
        <v>8.3000000000000007</v>
      </c>
      <c r="N173" s="15">
        <f t="shared" si="44"/>
        <v>17.513253012048192</v>
      </c>
      <c r="O173" s="15"/>
      <c r="P173" s="15"/>
      <c r="Q173" s="15"/>
      <c r="R173" s="15"/>
      <c r="S173" s="15"/>
    </row>
    <row r="174" spans="1:19" x14ac:dyDescent="0.15">
      <c r="A174" s="23"/>
      <c r="B174" s="23"/>
      <c r="C174" s="23"/>
      <c r="D174" s="23"/>
      <c r="E174" s="23"/>
      <c r="F174" s="23"/>
      <c r="G174" s="23"/>
      <c r="H174" s="15">
        <v>9</v>
      </c>
      <c r="I174" s="15">
        <v>10</v>
      </c>
      <c r="J174" s="15">
        <f t="shared" si="53"/>
        <v>13</v>
      </c>
      <c r="K174" s="15">
        <f t="shared" si="53"/>
        <v>14</v>
      </c>
      <c r="L174" s="15">
        <v>-64</v>
      </c>
      <c r="M174" s="15">
        <v>8.19</v>
      </c>
      <c r="N174" s="15">
        <f t="shared" si="44"/>
        <v>7.8144078144078151</v>
      </c>
      <c r="O174" s="15"/>
      <c r="P174" s="15"/>
      <c r="Q174" s="15"/>
      <c r="R174" s="15"/>
      <c r="S174" s="15"/>
    </row>
    <row r="175" spans="1:19" x14ac:dyDescent="0.15">
      <c r="A175" s="23"/>
      <c r="B175" s="23"/>
      <c r="C175" s="23"/>
      <c r="D175" s="23"/>
      <c r="E175" s="23"/>
      <c r="F175" s="23"/>
      <c r="G175" s="23"/>
      <c r="H175" s="15">
        <v>9</v>
      </c>
      <c r="I175" s="15">
        <v>10</v>
      </c>
      <c r="J175" s="15">
        <f t="shared" si="53"/>
        <v>14</v>
      </c>
      <c r="K175" s="15">
        <f t="shared" si="53"/>
        <v>15</v>
      </c>
      <c r="L175" s="15">
        <v>-33.380000000000003</v>
      </c>
      <c r="M175" s="15">
        <v>8.26</v>
      </c>
      <c r="N175" s="15">
        <f t="shared" si="44"/>
        <v>4.0411622276029062</v>
      </c>
      <c r="O175" s="15"/>
      <c r="P175" s="15"/>
      <c r="Q175" s="15"/>
      <c r="R175" s="15"/>
      <c r="S175" s="15"/>
    </row>
    <row r="176" spans="1:19" x14ac:dyDescent="0.15">
      <c r="A176" s="23"/>
      <c r="B176" s="23"/>
      <c r="C176" s="23"/>
      <c r="D176" s="23"/>
      <c r="E176" s="23"/>
      <c r="F176" s="23"/>
      <c r="G176" s="23"/>
      <c r="H176" s="15">
        <v>9</v>
      </c>
      <c r="I176" s="15">
        <v>10</v>
      </c>
      <c r="J176" s="15">
        <f t="shared" si="53"/>
        <v>15</v>
      </c>
      <c r="K176" s="15">
        <f t="shared" si="53"/>
        <v>16</v>
      </c>
      <c r="L176" s="15">
        <v>-23.75</v>
      </c>
      <c r="M176" s="15">
        <v>8.0500000000000007</v>
      </c>
      <c r="N176" s="15">
        <f t="shared" si="44"/>
        <v>2.9503105590062111</v>
      </c>
      <c r="O176" s="15"/>
      <c r="P176" s="15"/>
      <c r="Q176" s="15"/>
      <c r="R176" s="15"/>
      <c r="S176" s="15"/>
    </row>
    <row r="177" spans="1:19" x14ac:dyDescent="0.15">
      <c r="A177" s="23"/>
      <c r="B177" s="23"/>
      <c r="C177" s="23"/>
      <c r="D177" s="23"/>
      <c r="E177" s="23"/>
      <c r="F177" s="23"/>
      <c r="G177" s="23"/>
      <c r="H177" s="15">
        <v>9</v>
      </c>
      <c r="I177" s="15">
        <v>10</v>
      </c>
      <c r="J177" s="15">
        <f t="shared" si="53"/>
        <v>16</v>
      </c>
      <c r="K177" s="15">
        <f t="shared" si="53"/>
        <v>17</v>
      </c>
      <c r="L177" s="15">
        <v>-17.96</v>
      </c>
      <c r="M177" s="15">
        <v>8.17</v>
      </c>
      <c r="N177" s="15">
        <f t="shared" si="44"/>
        <v>2.1982864137086904</v>
      </c>
      <c r="O177" s="15"/>
      <c r="P177" s="15"/>
      <c r="Q177" s="15"/>
      <c r="R177" s="15"/>
      <c r="S177" s="15"/>
    </row>
    <row r="178" spans="1:19" x14ac:dyDescent="0.15">
      <c r="A178" s="23"/>
      <c r="B178" s="23"/>
      <c r="C178" s="23"/>
      <c r="D178" s="23"/>
      <c r="E178" s="23"/>
      <c r="F178" s="23"/>
      <c r="G178" s="23"/>
      <c r="H178" s="15">
        <v>9</v>
      </c>
      <c r="I178" s="15">
        <v>10</v>
      </c>
      <c r="J178" s="15">
        <f t="shared" si="53"/>
        <v>17</v>
      </c>
      <c r="K178" s="15">
        <f t="shared" si="53"/>
        <v>18</v>
      </c>
      <c r="L178" s="15">
        <v>-15.63</v>
      </c>
      <c r="M178" s="15">
        <v>8.19</v>
      </c>
      <c r="N178" s="15">
        <f t="shared" si="44"/>
        <v>1.9084249084249085</v>
      </c>
      <c r="O178" s="15"/>
      <c r="P178" s="15"/>
      <c r="Q178" s="15"/>
      <c r="R178" s="15"/>
      <c r="S178" s="15"/>
    </row>
    <row r="179" spans="1:19" x14ac:dyDescent="0.15">
      <c r="A179" s="23"/>
      <c r="B179" s="23"/>
      <c r="C179" s="23"/>
      <c r="D179" s="23"/>
      <c r="E179" s="23"/>
      <c r="F179" s="23"/>
      <c r="G179" s="23"/>
      <c r="H179" s="15">
        <v>9</v>
      </c>
      <c r="I179" s="15">
        <v>10</v>
      </c>
      <c r="J179" s="15">
        <f t="shared" si="53"/>
        <v>18</v>
      </c>
      <c r="K179" s="15">
        <f t="shared" si="53"/>
        <v>19</v>
      </c>
      <c r="L179" s="15">
        <v>-13.7</v>
      </c>
      <c r="M179" s="15">
        <v>7.98</v>
      </c>
      <c r="N179" s="15">
        <f t="shared" si="44"/>
        <v>1.7167919799498745</v>
      </c>
      <c r="O179" s="15"/>
      <c r="P179" s="15"/>
      <c r="Q179" s="15"/>
      <c r="R179" s="15"/>
      <c r="S179" s="15"/>
    </row>
    <row r="180" spans="1:19" x14ac:dyDescent="0.15">
      <c r="A180" s="23"/>
      <c r="B180" s="23"/>
      <c r="C180" s="23"/>
      <c r="D180" s="23"/>
      <c r="E180" s="23"/>
      <c r="F180" s="23"/>
      <c r="G180" s="23"/>
      <c r="H180" s="15">
        <v>9</v>
      </c>
      <c r="I180" s="15">
        <v>10</v>
      </c>
      <c r="J180" s="15">
        <f t="shared" si="53"/>
        <v>19</v>
      </c>
      <c r="K180" s="15">
        <f t="shared" si="53"/>
        <v>20</v>
      </c>
      <c r="L180" s="15">
        <v>-11.74</v>
      </c>
      <c r="M180" s="15">
        <v>8.2899999999999991</v>
      </c>
      <c r="N180" s="15">
        <f t="shared" si="44"/>
        <v>1.4161640530759954</v>
      </c>
      <c r="O180" s="15"/>
      <c r="P180" s="15"/>
      <c r="Q180" s="15"/>
      <c r="R180" s="15"/>
      <c r="S180" s="15"/>
    </row>
    <row r="181" spans="1:19" x14ac:dyDescent="0.15">
      <c r="A181" s="23"/>
      <c r="B181" s="23"/>
      <c r="C181" s="23"/>
      <c r="D181" s="23"/>
      <c r="E181" s="23"/>
      <c r="F181" s="23"/>
      <c r="G181" s="23"/>
      <c r="H181" s="15">
        <v>9</v>
      </c>
      <c r="I181" s="15">
        <v>10</v>
      </c>
      <c r="J181" s="15">
        <f t="shared" si="53"/>
        <v>20</v>
      </c>
      <c r="K181" s="15">
        <f t="shared" si="53"/>
        <v>21</v>
      </c>
      <c r="L181" s="15">
        <v>-10.78</v>
      </c>
      <c r="M181" s="15">
        <v>8.14</v>
      </c>
      <c r="N181" s="15">
        <f t="shared" si="44"/>
        <v>1.3243243243243241</v>
      </c>
      <c r="O181" s="15"/>
      <c r="P181" s="15"/>
      <c r="Q181" s="15"/>
      <c r="R181" s="15"/>
      <c r="S181" s="15"/>
    </row>
    <row r="182" spans="1:19" x14ac:dyDescent="0.15">
      <c r="A182" s="23"/>
      <c r="B182" s="23"/>
      <c r="C182" s="23"/>
      <c r="D182" s="23"/>
      <c r="E182" s="23"/>
      <c r="F182" s="23"/>
      <c r="G182" s="23"/>
      <c r="H182" s="15">
        <v>9</v>
      </c>
      <c r="I182" s="15">
        <v>10</v>
      </c>
      <c r="J182" s="15">
        <f t="shared" si="53"/>
        <v>21</v>
      </c>
      <c r="K182" s="15">
        <f t="shared" si="53"/>
        <v>22</v>
      </c>
      <c r="L182" s="15">
        <v>-9.92</v>
      </c>
      <c r="M182" s="15">
        <v>7.87</v>
      </c>
      <c r="N182" s="15">
        <f t="shared" si="44"/>
        <v>1.2604828462515882</v>
      </c>
      <c r="O182" s="15"/>
      <c r="P182" s="15"/>
      <c r="Q182" s="15"/>
      <c r="R182" s="15"/>
      <c r="S182" s="15"/>
    </row>
    <row r="183" spans="1:19" x14ac:dyDescent="0.15">
      <c r="A183" s="23"/>
      <c r="B183" s="23"/>
      <c r="C183" s="23"/>
      <c r="D183" s="23"/>
      <c r="E183" s="23"/>
      <c r="F183" s="23"/>
      <c r="G183" s="23"/>
      <c r="H183" s="15">
        <v>9</v>
      </c>
      <c r="I183" s="15">
        <v>10</v>
      </c>
      <c r="J183" s="15">
        <f t="shared" si="53"/>
        <v>22</v>
      </c>
      <c r="K183" s="15">
        <f t="shared" si="53"/>
        <v>23</v>
      </c>
      <c r="L183" s="15">
        <v>-9.75</v>
      </c>
      <c r="M183" s="15">
        <v>7.64</v>
      </c>
      <c r="N183" s="15">
        <f t="shared" si="44"/>
        <v>1.2761780104712042</v>
      </c>
      <c r="O183" s="15"/>
      <c r="P183" s="15"/>
      <c r="Q183" s="15"/>
      <c r="R183" s="15"/>
      <c r="S183" s="15"/>
    </row>
    <row r="184" spans="1:19" x14ac:dyDescent="0.15">
      <c r="A184" s="23"/>
      <c r="B184" s="23"/>
      <c r="C184" s="23"/>
      <c r="D184" s="23"/>
      <c r="E184" s="23"/>
      <c r="F184" s="23"/>
      <c r="G184" s="23"/>
      <c r="H184" s="15">
        <v>9</v>
      </c>
      <c r="I184" s="15">
        <v>10</v>
      </c>
      <c r="J184" s="15">
        <f t="shared" si="53"/>
        <v>23</v>
      </c>
      <c r="K184" s="15">
        <f t="shared" si="53"/>
        <v>24</v>
      </c>
      <c r="L184" s="15">
        <v>-9.8000000000000007</v>
      </c>
      <c r="M184" s="15">
        <v>7.85</v>
      </c>
      <c r="N184" s="15">
        <f t="shared" si="44"/>
        <v>1.2484076433121021</v>
      </c>
      <c r="O184" s="15"/>
      <c r="P184" s="15"/>
      <c r="Q184" s="15"/>
      <c r="R184" s="15"/>
      <c r="S184" s="15"/>
    </row>
    <row r="185" spans="1:19" x14ac:dyDescent="0.15">
      <c r="A185" s="23"/>
      <c r="B185" s="23"/>
      <c r="C185" s="23"/>
      <c r="D185" s="23"/>
      <c r="E185" s="23"/>
      <c r="F185" s="23"/>
      <c r="G185" s="23"/>
      <c r="H185" s="15">
        <v>9</v>
      </c>
      <c r="I185" s="15">
        <v>10</v>
      </c>
      <c r="J185" s="15">
        <f>J184+1</f>
        <v>24</v>
      </c>
      <c r="K185" s="15">
        <v>1</v>
      </c>
      <c r="L185" s="15">
        <v>-10.35</v>
      </c>
      <c r="M185" s="15">
        <v>7.81</v>
      </c>
      <c r="N185" s="15">
        <f t="shared" si="44"/>
        <v>1.3252240717029449</v>
      </c>
      <c r="O185" s="15"/>
      <c r="P185" s="15"/>
      <c r="Q185" s="15"/>
      <c r="R185" s="15"/>
      <c r="S185" s="15"/>
    </row>
    <row r="186" spans="1:19" x14ac:dyDescent="0.15">
      <c r="A186" s="23"/>
      <c r="B186" s="23"/>
      <c r="C186" s="23"/>
      <c r="D186" s="23"/>
      <c r="E186" s="23"/>
      <c r="F186" s="23"/>
      <c r="G186" s="23"/>
      <c r="H186" s="15">
        <v>9</v>
      </c>
      <c r="I186" s="15">
        <v>10</v>
      </c>
      <c r="J186" s="15">
        <v>1</v>
      </c>
      <c r="K186" s="15">
        <f t="shared" ref="K186:K192" si="54">K185+1</f>
        <v>2</v>
      </c>
      <c r="L186" s="15">
        <v>-12.76</v>
      </c>
      <c r="M186" s="15">
        <v>7.74</v>
      </c>
      <c r="N186" s="15">
        <f t="shared" si="44"/>
        <v>1.648578811369509</v>
      </c>
      <c r="O186" s="15"/>
      <c r="P186" s="15"/>
      <c r="Q186" s="15"/>
      <c r="R186" s="15"/>
      <c r="S186" s="15"/>
    </row>
    <row r="187" spans="1:19" x14ac:dyDescent="0.15">
      <c r="A187" s="23"/>
      <c r="B187" s="23"/>
      <c r="C187" s="23"/>
      <c r="D187" s="23"/>
      <c r="E187" s="23"/>
      <c r="F187" s="23"/>
      <c r="G187" s="23"/>
      <c r="H187" s="15">
        <v>9</v>
      </c>
      <c r="I187" s="15">
        <v>10</v>
      </c>
      <c r="J187" s="15">
        <f t="shared" ref="J187:J192" si="55">J186+1</f>
        <v>2</v>
      </c>
      <c r="K187" s="15">
        <f t="shared" si="54"/>
        <v>3</v>
      </c>
      <c r="L187" s="15">
        <v>-14.62</v>
      </c>
      <c r="M187" s="15">
        <v>7.67</v>
      </c>
      <c r="N187" s="15">
        <f t="shared" si="44"/>
        <v>1.9061277705345501</v>
      </c>
      <c r="O187" s="15"/>
      <c r="P187" s="15"/>
      <c r="Q187" s="15"/>
      <c r="R187" s="15"/>
      <c r="S187" s="15"/>
    </row>
    <row r="188" spans="1:19" x14ac:dyDescent="0.15">
      <c r="A188" s="23"/>
      <c r="B188" s="23"/>
      <c r="C188" s="23"/>
      <c r="D188" s="23"/>
      <c r="E188" s="23"/>
      <c r="F188" s="23"/>
      <c r="G188" s="23"/>
      <c r="H188" s="15">
        <v>9</v>
      </c>
      <c r="I188" s="15">
        <v>10</v>
      </c>
      <c r="J188" s="15">
        <f t="shared" si="55"/>
        <v>3</v>
      </c>
      <c r="K188" s="15">
        <f t="shared" si="54"/>
        <v>4</v>
      </c>
      <c r="L188" s="15">
        <v>-19.73</v>
      </c>
      <c r="M188" s="15">
        <v>7.72</v>
      </c>
      <c r="N188" s="15">
        <f t="shared" si="44"/>
        <v>2.5556994818652852</v>
      </c>
      <c r="O188" s="15"/>
      <c r="P188" s="15"/>
      <c r="Q188" s="15"/>
      <c r="R188" s="15"/>
      <c r="S188" s="15"/>
    </row>
    <row r="189" spans="1:19" x14ac:dyDescent="0.15">
      <c r="A189" s="23"/>
      <c r="B189" s="23"/>
      <c r="C189" s="23"/>
      <c r="D189" s="23"/>
      <c r="E189" s="23"/>
      <c r="F189" s="23"/>
      <c r="G189" s="23"/>
      <c r="H189" s="15">
        <v>9</v>
      </c>
      <c r="I189" s="15">
        <v>10</v>
      </c>
      <c r="J189" s="15">
        <f t="shared" si="55"/>
        <v>4</v>
      </c>
      <c r="K189" s="15">
        <f t="shared" si="54"/>
        <v>5</v>
      </c>
      <c r="L189" s="15">
        <v>-31.09</v>
      </c>
      <c r="M189" s="15">
        <v>7.67</v>
      </c>
      <c r="N189" s="15">
        <f t="shared" si="44"/>
        <v>4.0534550195567141</v>
      </c>
      <c r="O189" s="15"/>
      <c r="P189" s="15"/>
      <c r="Q189" s="15"/>
      <c r="R189" s="15"/>
      <c r="S189" s="15"/>
    </row>
    <row r="190" spans="1:19" x14ac:dyDescent="0.15">
      <c r="A190" s="23"/>
      <c r="B190" s="23"/>
      <c r="C190" s="23"/>
      <c r="D190" s="23"/>
      <c r="E190" s="23"/>
      <c r="F190" s="23"/>
      <c r="G190" s="23"/>
      <c r="H190" s="15">
        <v>9</v>
      </c>
      <c r="I190" s="15">
        <v>10</v>
      </c>
      <c r="J190" s="15">
        <f t="shared" si="55"/>
        <v>5</v>
      </c>
      <c r="K190" s="15">
        <f t="shared" si="54"/>
        <v>6</v>
      </c>
      <c r="L190" s="15">
        <v>-52.48</v>
      </c>
      <c r="M190" s="15">
        <v>7.51</v>
      </c>
      <c r="N190" s="15">
        <f t="shared" si="44"/>
        <v>6.9880159786950733</v>
      </c>
      <c r="O190" s="15"/>
      <c r="P190" s="15"/>
      <c r="Q190" s="15"/>
      <c r="R190" s="15"/>
      <c r="S190" s="15"/>
    </row>
    <row r="191" spans="1:19" x14ac:dyDescent="0.15">
      <c r="A191" s="23"/>
      <c r="B191" s="23"/>
      <c r="C191" s="23"/>
      <c r="D191" s="23"/>
      <c r="E191" s="23"/>
      <c r="F191" s="23"/>
      <c r="G191" s="23"/>
      <c r="H191" s="15">
        <v>9</v>
      </c>
      <c r="I191" s="15">
        <v>10</v>
      </c>
      <c r="J191" s="15">
        <f t="shared" si="55"/>
        <v>6</v>
      </c>
      <c r="K191" s="15">
        <f t="shared" si="54"/>
        <v>7</v>
      </c>
      <c r="L191" s="15">
        <v>-132.49</v>
      </c>
      <c r="M191" s="15">
        <v>7.73</v>
      </c>
      <c r="N191" s="15">
        <f t="shared" si="44"/>
        <v>17.139715394566625</v>
      </c>
      <c r="O191" s="15"/>
      <c r="P191" s="15"/>
      <c r="Q191" s="15"/>
      <c r="R191" s="15"/>
      <c r="S191" s="15"/>
    </row>
    <row r="192" spans="1:19" x14ac:dyDescent="0.15">
      <c r="A192" s="23"/>
      <c r="B192" s="23"/>
      <c r="C192" s="23"/>
      <c r="D192" s="23"/>
      <c r="E192" s="23"/>
      <c r="F192" s="23"/>
      <c r="G192" s="23"/>
      <c r="H192" s="15">
        <v>9</v>
      </c>
      <c r="I192" s="15">
        <v>10</v>
      </c>
      <c r="J192" s="15">
        <f t="shared" si="55"/>
        <v>7</v>
      </c>
      <c r="K192" s="15">
        <f t="shared" si="54"/>
        <v>8</v>
      </c>
      <c r="L192" s="15">
        <v>-560.53</v>
      </c>
      <c r="M192" s="15">
        <v>7.91</v>
      </c>
      <c r="N192" s="15">
        <f t="shared" si="44"/>
        <v>70.863463969658653</v>
      </c>
      <c r="O192" s="15"/>
      <c r="P192" s="15"/>
      <c r="Q192" s="15"/>
      <c r="R192" s="15"/>
      <c r="S192" s="15"/>
    </row>
    <row r="193" spans="1:19" x14ac:dyDescent="0.15">
      <c r="A193" s="23"/>
      <c r="B193" s="23"/>
      <c r="C193" s="23"/>
      <c r="D193" s="23"/>
      <c r="E193" s="23"/>
      <c r="F193" s="23"/>
      <c r="G193" s="23"/>
      <c r="H193" s="15">
        <v>10</v>
      </c>
      <c r="I193" s="15">
        <v>11</v>
      </c>
      <c r="J193" s="15">
        <f>I193+1</f>
        <v>12</v>
      </c>
      <c r="K193" s="15">
        <f>J193+1</f>
        <v>13</v>
      </c>
      <c r="L193" s="15">
        <v>-565.25</v>
      </c>
      <c r="M193" s="15">
        <v>8.5299999999999994</v>
      </c>
      <c r="N193" s="15">
        <f t="shared" si="44"/>
        <v>66.26611957796014</v>
      </c>
      <c r="O193" s="15"/>
      <c r="P193" s="15"/>
      <c r="Q193" s="15"/>
      <c r="R193" s="15"/>
      <c r="S193" s="15"/>
    </row>
    <row r="194" spans="1:19" x14ac:dyDescent="0.15">
      <c r="A194" s="23"/>
      <c r="B194" s="23"/>
      <c r="C194" s="23"/>
      <c r="D194" s="23"/>
      <c r="E194" s="23"/>
      <c r="F194" s="23"/>
      <c r="G194" s="23"/>
      <c r="H194" s="15">
        <v>10</v>
      </c>
      <c r="I194" s="15">
        <v>11</v>
      </c>
      <c r="J194" s="15">
        <f t="shared" ref="J194:K204" si="56">J193+1</f>
        <v>13</v>
      </c>
      <c r="K194" s="15">
        <f t="shared" si="56"/>
        <v>14</v>
      </c>
      <c r="L194" s="15">
        <v>-159.04</v>
      </c>
      <c r="M194" s="15">
        <v>8.81</v>
      </c>
      <c r="N194" s="15">
        <f t="shared" si="44"/>
        <v>18.052213393870598</v>
      </c>
      <c r="O194" s="15"/>
      <c r="P194" s="15"/>
      <c r="Q194" s="15"/>
      <c r="R194" s="15"/>
      <c r="S194" s="15"/>
    </row>
    <row r="195" spans="1:19" x14ac:dyDescent="0.15">
      <c r="A195" s="23"/>
      <c r="B195" s="23"/>
      <c r="C195" s="23"/>
      <c r="D195" s="23"/>
      <c r="E195" s="23"/>
      <c r="F195" s="23"/>
      <c r="G195" s="23"/>
      <c r="H195" s="15">
        <v>10</v>
      </c>
      <c r="I195" s="15">
        <v>11</v>
      </c>
      <c r="J195" s="15">
        <f t="shared" si="56"/>
        <v>14</v>
      </c>
      <c r="K195" s="15">
        <f t="shared" si="56"/>
        <v>15</v>
      </c>
      <c r="L195" s="15">
        <v>-63.72</v>
      </c>
      <c r="M195" s="15">
        <v>8.86</v>
      </c>
      <c r="N195" s="15">
        <f t="shared" si="44"/>
        <v>7.1918735891647856</v>
      </c>
      <c r="O195" s="15"/>
      <c r="P195" s="15"/>
      <c r="Q195" s="15"/>
      <c r="R195" s="15"/>
      <c r="S195" s="15"/>
    </row>
    <row r="196" spans="1:19" x14ac:dyDescent="0.15">
      <c r="A196" s="23"/>
      <c r="B196" s="23"/>
      <c r="C196" s="23"/>
      <c r="D196" s="23"/>
      <c r="E196" s="23"/>
      <c r="F196" s="23"/>
      <c r="G196" s="23"/>
      <c r="H196" s="15">
        <v>10</v>
      </c>
      <c r="I196" s="15">
        <v>11</v>
      </c>
      <c r="J196" s="15">
        <f t="shared" si="56"/>
        <v>15</v>
      </c>
      <c r="K196" s="15">
        <f t="shared" si="56"/>
        <v>16</v>
      </c>
      <c r="L196" s="15">
        <v>-37.99</v>
      </c>
      <c r="M196" s="15">
        <v>8.6999999999999993</v>
      </c>
      <c r="N196" s="15">
        <f t="shared" si="44"/>
        <v>4.3666666666666671</v>
      </c>
      <c r="O196" s="15"/>
      <c r="P196" s="15"/>
      <c r="Q196" s="15"/>
      <c r="R196" s="15"/>
      <c r="S196" s="15"/>
    </row>
    <row r="197" spans="1:19" x14ac:dyDescent="0.15">
      <c r="A197" s="23"/>
      <c r="B197" s="23"/>
      <c r="C197" s="23"/>
      <c r="D197" s="23"/>
      <c r="E197" s="23"/>
      <c r="F197" s="23"/>
      <c r="G197" s="23"/>
      <c r="H197" s="15">
        <v>10</v>
      </c>
      <c r="I197" s="15">
        <v>11</v>
      </c>
      <c r="J197" s="15">
        <f t="shared" si="56"/>
        <v>16</v>
      </c>
      <c r="K197" s="15">
        <f t="shared" si="56"/>
        <v>17</v>
      </c>
      <c r="L197" s="15">
        <v>-24.75</v>
      </c>
      <c r="M197" s="15">
        <v>8.73</v>
      </c>
      <c r="N197" s="15">
        <f t="shared" ref="N197:N260" si="57">-L197/M197</f>
        <v>2.8350515463917523</v>
      </c>
      <c r="O197" s="15"/>
      <c r="P197" s="15"/>
      <c r="Q197" s="15"/>
      <c r="R197" s="15"/>
      <c r="S197" s="15"/>
    </row>
    <row r="198" spans="1:19" x14ac:dyDescent="0.15">
      <c r="A198" s="23"/>
      <c r="B198" s="23"/>
      <c r="C198" s="23"/>
      <c r="D198" s="23"/>
      <c r="E198" s="23"/>
      <c r="F198" s="23"/>
      <c r="G198" s="23"/>
      <c r="H198" s="15">
        <v>10</v>
      </c>
      <c r="I198" s="15">
        <v>11</v>
      </c>
      <c r="J198" s="15">
        <f t="shared" si="56"/>
        <v>17</v>
      </c>
      <c r="K198" s="15">
        <f t="shared" si="56"/>
        <v>18</v>
      </c>
      <c r="L198" s="15">
        <v>-19.489999999999998</v>
      </c>
      <c r="M198" s="15">
        <v>8.91</v>
      </c>
      <c r="N198" s="15">
        <f t="shared" si="57"/>
        <v>2.1874298540965205</v>
      </c>
      <c r="O198" s="15"/>
      <c r="P198" s="15"/>
      <c r="Q198" s="15"/>
      <c r="R198" s="15"/>
      <c r="S198" s="15"/>
    </row>
    <row r="199" spans="1:19" x14ac:dyDescent="0.15">
      <c r="A199" s="23"/>
      <c r="B199" s="23"/>
      <c r="C199" s="23"/>
      <c r="D199" s="23"/>
      <c r="E199" s="23"/>
      <c r="F199" s="23"/>
      <c r="G199" s="23"/>
      <c r="H199" s="15">
        <v>10</v>
      </c>
      <c r="I199" s="15">
        <v>11</v>
      </c>
      <c r="J199" s="15">
        <f t="shared" si="56"/>
        <v>18</v>
      </c>
      <c r="K199" s="15">
        <f t="shared" si="56"/>
        <v>19</v>
      </c>
      <c r="L199" s="15">
        <v>-17.14</v>
      </c>
      <c r="M199" s="15">
        <v>9.0500000000000007</v>
      </c>
      <c r="N199" s="15">
        <f t="shared" si="57"/>
        <v>1.8939226519337016</v>
      </c>
      <c r="O199" s="15"/>
      <c r="P199" s="15"/>
      <c r="Q199" s="15"/>
      <c r="R199" s="15"/>
      <c r="S199" s="15"/>
    </row>
    <row r="200" spans="1:19" x14ac:dyDescent="0.15">
      <c r="A200" s="23"/>
      <c r="B200" s="23"/>
      <c r="C200" s="23"/>
      <c r="D200" s="23"/>
      <c r="E200" s="23"/>
      <c r="F200" s="23"/>
      <c r="G200" s="23"/>
      <c r="H200" s="15">
        <v>10</v>
      </c>
      <c r="I200" s="15">
        <v>11</v>
      </c>
      <c r="J200" s="15">
        <f t="shared" si="56"/>
        <v>19</v>
      </c>
      <c r="K200" s="15">
        <f t="shared" si="56"/>
        <v>20</v>
      </c>
      <c r="L200" s="15">
        <v>-14.11</v>
      </c>
      <c r="M200" s="15">
        <v>8.9700000000000006</v>
      </c>
      <c r="N200" s="15">
        <f t="shared" si="57"/>
        <v>1.5730211817168338</v>
      </c>
      <c r="O200" s="15"/>
      <c r="P200" s="15"/>
      <c r="Q200" s="15"/>
      <c r="R200" s="15"/>
      <c r="S200" s="15"/>
    </row>
    <row r="201" spans="1:19" x14ac:dyDescent="0.15">
      <c r="A201" s="23"/>
      <c r="B201" s="23"/>
      <c r="C201" s="23"/>
      <c r="D201" s="23"/>
      <c r="E201" s="23"/>
      <c r="F201" s="23"/>
      <c r="G201" s="23"/>
      <c r="H201" s="15">
        <v>10</v>
      </c>
      <c r="I201" s="15">
        <v>11</v>
      </c>
      <c r="J201" s="15">
        <f t="shared" si="56"/>
        <v>20</v>
      </c>
      <c r="K201" s="15">
        <f t="shared" si="56"/>
        <v>21</v>
      </c>
      <c r="L201" s="15">
        <v>-12.37</v>
      </c>
      <c r="M201" s="15">
        <v>8.8800000000000008</v>
      </c>
      <c r="N201" s="15">
        <f t="shared" si="57"/>
        <v>1.3930180180180178</v>
      </c>
      <c r="O201" s="15"/>
      <c r="P201" s="15"/>
      <c r="Q201" s="15"/>
      <c r="R201" s="15"/>
      <c r="S201" s="15"/>
    </row>
    <row r="202" spans="1:19" x14ac:dyDescent="0.15">
      <c r="A202" s="23"/>
      <c r="B202" s="23"/>
      <c r="C202" s="23"/>
      <c r="D202" s="23"/>
      <c r="E202" s="23"/>
      <c r="F202" s="23"/>
      <c r="G202" s="23"/>
      <c r="H202" s="15">
        <v>10</v>
      </c>
      <c r="I202" s="15">
        <v>11</v>
      </c>
      <c r="J202" s="15">
        <f t="shared" si="56"/>
        <v>21</v>
      </c>
      <c r="K202" s="15">
        <f t="shared" si="56"/>
        <v>22</v>
      </c>
      <c r="L202" s="15">
        <v>-10.49</v>
      </c>
      <c r="M202" s="15">
        <v>8.35</v>
      </c>
      <c r="N202" s="15">
        <f t="shared" si="57"/>
        <v>1.2562874251497007</v>
      </c>
      <c r="O202" s="15"/>
      <c r="P202" s="15"/>
      <c r="Q202" s="15"/>
      <c r="R202" s="15"/>
      <c r="S202" s="15"/>
    </row>
    <row r="203" spans="1:19" x14ac:dyDescent="0.15">
      <c r="A203" s="23"/>
      <c r="B203" s="23"/>
      <c r="C203" s="23"/>
      <c r="D203" s="23"/>
      <c r="E203" s="23"/>
      <c r="F203" s="23"/>
      <c r="G203" s="23"/>
      <c r="H203" s="15">
        <v>10</v>
      </c>
      <c r="I203" s="15">
        <v>11</v>
      </c>
      <c r="J203" s="15">
        <f t="shared" si="56"/>
        <v>22</v>
      </c>
      <c r="K203" s="15">
        <f t="shared" si="56"/>
        <v>23</v>
      </c>
      <c r="L203" s="15">
        <v>-10.77</v>
      </c>
      <c r="M203" s="15">
        <v>8.4600000000000009</v>
      </c>
      <c r="N203" s="15">
        <f t="shared" si="57"/>
        <v>1.2730496453900708</v>
      </c>
      <c r="O203" s="15"/>
      <c r="P203" s="15"/>
      <c r="Q203" s="15"/>
      <c r="R203" s="15"/>
      <c r="S203" s="15"/>
    </row>
    <row r="204" spans="1:19" x14ac:dyDescent="0.15">
      <c r="A204" s="23"/>
      <c r="B204" s="23"/>
      <c r="C204" s="23"/>
      <c r="D204" s="23"/>
      <c r="E204" s="23"/>
      <c r="F204" s="23"/>
      <c r="G204" s="23"/>
      <c r="H204" s="15">
        <v>10</v>
      </c>
      <c r="I204" s="15">
        <v>11</v>
      </c>
      <c r="J204" s="15">
        <f t="shared" si="56"/>
        <v>23</v>
      </c>
      <c r="K204" s="15">
        <f t="shared" si="56"/>
        <v>24</v>
      </c>
      <c r="L204" s="15">
        <v>-10.37</v>
      </c>
      <c r="M204" s="15">
        <v>8.3800000000000008</v>
      </c>
      <c r="N204" s="15">
        <f t="shared" si="57"/>
        <v>1.237470167064439</v>
      </c>
      <c r="O204" s="15"/>
      <c r="P204" s="15"/>
      <c r="Q204" s="15"/>
      <c r="R204" s="15"/>
      <c r="S204" s="15"/>
    </row>
    <row r="205" spans="1:19" x14ac:dyDescent="0.15">
      <c r="A205" s="15"/>
      <c r="B205" s="15"/>
      <c r="C205" s="15"/>
      <c r="D205" s="15"/>
      <c r="E205" s="15"/>
      <c r="F205" s="15"/>
      <c r="G205" s="15"/>
      <c r="H205" s="15">
        <v>10</v>
      </c>
      <c r="I205" s="15">
        <v>11</v>
      </c>
      <c r="J205" s="15">
        <f>J204+1</f>
        <v>24</v>
      </c>
      <c r="K205" s="15">
        <v>1</v>
      </c>
      <c r="L205" s="15">
        <v>-10.88</v>
      </c>
      <c r="M205" s="15">
        <v>8.39</v>
      </c>
      <c r="N205" s="15">
        <f t="shared" si="57"/>
        <v>1.296781883194279</v>
      </c>
      <c r="O205" s="15"/>
      <c r="P205" s="15"/>
      <c r="Q205" s="15"/>
      <c r="R205" s="15"/>
      <c r="S205" s="15"/>
    </row>
    <row r="206" spans="1:19" x14ac:dyDescent="0.15">
      <c r="A206" s="15"/>
      <c r="B206" s="15"/>
      <c r="C206" s="15"/>
      <c r="D206" s="15"/>
      <c r="E206" s="15"/>
      <c r="F206" s="15"/>
      <c r="G206" s="15"/>
      <c r="H206" s="15">
        <v>10</v>
      </c>
      <c r="I206" s="15">
        <v>11</v>
      </c>
      <c r="J206" s="15">
        <v>1</v>
      </c>
      <c r="K206" s="15">
        <f t="shared" ref="K206:K213" si="58">K205+1</f>
        <v>2</v>
      </c>
      <c r="L206" s="15">
        <v>-12.53</v>
      </c>
      <c r="M206" s="15">
        <v>8.48</v>
      </c>
      <c r="N206" s="15">
        <f t="shared" si="57"/>
        <v>1.4775943396226414</v>
      </c>
      <c r="O206" s="15"/>
      <c r="P206" s="15"/>
      <c r="Q206" s="15"/>
      <c r="R206" s="15"/>
      <c r="S206" s="15"/>
    </row>
    <row r="207" spans="1:19" x14ac:dyDescent="0.15">
      <c r="A207" s="15"/>
      <c r="B207" s="15"/>
      <c r="C207" s="15"/>
      <c r="D207" s="15"/>
      <c r="E207" s="15"/>
      <c r="F207" s="15"/>
      <c r="G207" s="15"/>
      <c r="H207" s="15">
        <v>10</v>
      </c>
      <c r="I207" s="15">
        <v>11</v>
      </c>
      <c r="J207" s="15">
        <f t="shared" ref="J207:J213" si="59">J206+1</f>
        <v>2</v>
      </c>
      <c r="K207" s="15">
        <f t="shared" si="58"/>
        <v>3</v>
      </c>
      <c r="L207" s="15">
        <v>-13.5</v>
      </c>
      <c r="M207" s="15">
        <v>8.4</v>
      </c>
      <c r="N207" s="15">
        <f t="shared" si="57"/>
        <v>1.607142857142857</v>
      </c>
      <c r="O207" s="15"/>
      <c r="P207" s="15"/>
      <c r="Q207" s="15"/>
      <c r="R207" s="15"/>
      <c r="S207" s="15"/>
    </row>
    <row r="208" spans="1:19" x14ac:dyDescent="0.15">
      <c r="A208" s="15"/>
      <c r="B208" s="15"/>
      <c r="C208" s="15"/>
      <c r="D208" s="15"/>
      <c r="E208" s="15"/>
      <c r="F208" s="15"/>
      <c r="G208" s="15"/>
      <c r="H208" s="15">
        <v>10</v>
      </c>
      <c r="I208" s="15">
        <v>11</v>
      </c>
      <c r="J208" s="15">
        <f t="shared" si="59"/>
        <v>3</v>
      </c>
      <c r="K208" s="15">
        <f t="shared" si="58"/>
        <v>4</v>
      </c>
      <c r="L208" s="15">
        <v>-16.25</v>
      </c>
      <c r="M208" s="15">
        <v>8.52</v>
      </c>
      <c r="N208" s="15">
        <f t="shared" si="57"/>
        <v>1.9072769953051645</v>
      </c>
      <c r="O208" s="15"/>
      <c r="P208" s="15"/>
      <c r="Q208" s="15"/>
      <c r="R208" s="15"/>
      <c r="S208" s="15"/>
    </row>
    <row r="209" spans="1:19" x14ac:dyDescent="0.15">
      <c r="A209" s="15"/>
      <c r="B209" s="15"/>
      <c r="C209" s="15"/>
      <c r="D209" s="15"/>
      <c r="E209" s="15"/>
      <c r="F209" s="15"/>
      <c r="G209" s="15"/>
      <c r="H209" s="15">
        <v>10</v>
      </c>
      <c r="I209" s="15">
        <v>11</v>
      </c>
      <c r="J209" s="15">
        <f t="shared" si="59"/>
        <v>4</v>
      </c>
      <c r="K209" s="15">
        <f t="shared" si="58"/>
        <v>5</v>
      </c>
      <c r="L209" s="15">
        <v>-23.56</v>
      </c>
      <c r="M209" s="15">
        <v>8.67</v>
      </c>
      <c r="N209" s="15">
        <f t="shared" si="57"/>
        <v>2.7174163783160323</v>
      </c>
      <c r="O209" s="15"/>
      <c r="P209" s="15"/>
      <c r="Q209" s="15"/>
      <c r="R209" s="15"/>
      <c r="S209" s="15"/>
    </row>
    <row r="210" spans="1:19" x14ac:dyDescent="0.15">
      <c r="A210" s="15"/>
      <c r="B210" s="15"/>
      <c r="C210" s="15"/>
      <c r="D210" s="15"/>
      <c r="E210" s="15"/>
      <c r="F210" s="15"/>
      <c r="G210" s="15"/>
      <c r="H210" s="15">
        <v>10</v>
      </c>
      <c r="I210" s="15">
        <v>11</v>
      </c>
      <c r="J210" s="15">
        <f t="shared" si="59"/>
        <v>5</v>
      </c>
      <c r="K210" s="15">
        <f t="shared" si="58"/>
        <v>6</v>
      </c>
      <c r="L210" s="15">
        <v>-31.94</v>
      </c>
      <c r="M210" s="15">
        <v>8.4700000000000006</v>
      </c>
      <c r="N210" s="15">
        <f t="shared" si="57"/>
        <v>3.7709563164108619</v>
      </c>
      <c r="O210" s="15"/>
      <c r="P210" s="15"/>
      <c r="Q210" s="15"/>
      <c r="R210" s="15"/>
      <c r="S210" s="15"/>
    </row>
    <row r="211" spans="1:19" x14ac:dyDescent="0.15">
      <c r="A211" s="15"/>
      <c r="B211" s="15"/>
      <c r="C211" s="15"/>
      <c r="D211" s="15"/>
      <c r="E211" s="15"/>
      <c r="F211" s="15"/>
      <c r="G211" s="15"/>
      <c r="H211" s="15">
        <v>10</v>
      </c>
      <c r="I211" s="15">
        <v>11</v>
      </c>
      <c r="J211" s="15">
        <f t="shared" si="59"/>
        <v>6</v>
      </c>
      <c r="K211" s="15">
        <f t="shared" si="58"/>
        <v>7</v>
      </c>
      <c r="L211" s="15">
        <v>-60.52</v>
      </c>
      <c r="M211" s="15">
        <v>8.56</v>
      </c>
      <c r="N211" s="15">
        <f t="shared" si="57"/>
        <v>7.0700934579439254</v>
      </c>
      <c r="O211" s="15"/>
      <c r="P211" s="15"/>
      <c r="Q211" s="15"/>
      <c r="R211" s="15"/>
      <c r="S211" s="15"/>
    </row>
    <row r="212" spans="1:19" x14ac:dyDescent="0.15">
      <c r="A212" s="15"/>
      <c r="B212" s="15"/>
      <c r="C212" s="15"/>
      <c r="D212" s="15"/>
      <c r="E212" s="15"/>
      <c r="F212" s="15"/>
      <c r="G212" s="15"/>
      <c r="H212" s="15">
        <v>10</v>
      </c>
      <c r="I212" s="15">
        <v>11</v>
      </c>
      <c r="J212" s="15">
        <f t="shared" si="59"/>
        <v>7</v>
      </c>
      <c r="K212" s="15">
        <f t="shared" si="58"/>
        <v>8</v>
      </c>
      <c r="L212" s="15">
        <v>-153.24</v>
      </c>
      <c r="M212" s="15">
        <v>8.5500000000000007</v>
      </c>
      <c r="N212" s="15">
        <f t="shared" si="57"/>
        <v>17.92280701754386</v>
      </c>
      <c r="O212" s="15"/>
      <c r="P212" s="15"/>
      <c r="Q212" s="15"/>
      <c r="R212" s="15"/>
      <c r="S212" s="15"/>
    </row>
    <row r="213" spans="1:19" x14ac:dyDescent="0.15">
      <c r="A213" s="15"/>
      <c r="B213" s="15"/>
      <c r="C213" s="15"/>
      <c r="D213" s="15"/>
      <c r="E213" s="15"/>
      <c r="F213" s="15"/>
      <c r="G213" s="15"/>
      <c r="H213" s="15">
        <v>10</v>
      </c>
      <c r="I213" s="15">
        <v>11</v>
      </c>
      <c r="J213" s="15">
        <f t="shared" si="59"/>
        <v>8</v>
      </c>
      <c r="K213" s="15">
        <f t="shared" si="58"/>
        <v>9</v>
      </c>
      <c r="L213" s="15">
        <v>-553.27</v>
      </c>
      <c r="M213" s="15">
        <v>8.59</v>
      </c>
      <c r="N213" s="15">
        <f t="shared" si="57"/>
        <v>64.40861466821886</v>
      </c>
      <c r="O213" s="22"/>
      <c r="P213" s="22"/>
      <c r="Q213" s="22"/>
      <c r="R213" s="15"/>
      <c r="S213" s="15"/>
    </row>
    <row r="214" spans="1:19" x14ac:dyDescent="0.15">
      <c r="H214" s="15">
        <v>11</v>
      </c>
      <c r="I214" s="15">
        <v>12</v>
      </c>
      <c r="J214" s="15">
        <f>I214+1</f>
        <v>13</v>
      </c>
      <c r="K214" s="15">
        <f>J214+1</f>
        <v>14</v>
      </c>
      <c r="L214" s="15">
        <v>-520.61</v>
      </c>
      <c r="M214" s="15">
        <v>6.55</v>
      </c>
      <c r="N214" s="15">
        <f t="shared" si="57"/>
        <v>79.482442748091614</v>
      </c>
      <c r="O214" s="22"/>
      <c r="P214" s="22"/>
      <c r="Q214" s="22"/>
      <c r="R214" s="15"/>
      <c r="S214" s="15"/>
    </row>
    <row r="215" spans="1:19" x14ac:dyDescent="0.15">
      <c r="H215" s="15">
        <v>11</v>
      </c>
      <c r="I215" s="15">
        <v>12</v>
      </c>
      <c r="J215" s="15">
        <f t="shared" ref="J215:K224" si="60">J214+1</f>
        <v>14</v>
      </c>
      <c r="K215" s="15">
        <f t="shared" si="60"/>
        <v>15</v>
      </c>
      <c r="L215" s="15">
        <v>-135.85</v>
      </c>
      <c r="M215" s="15">
        <v>6.59</v>
      </c>
      <c r="N215" s="15">
        <f t="shared" si="57"/>
        <v>20.614567526555387</v>
      </c>
      <c r="O215" s="22"/>
      <c r="P215" s="22"/>
      <c r="Q215" s="22"/>
      <c r="R215" s="15"/>
      <c r="S215" s="15"/>
    </row>
    <row r="216" spans="1:19" x14ac:dyDescent="0.15">
      <c r="H216" s="15">
        <v>11</v>
      </c>
      <c r="I216" s="15">
        <v>12</v>
      </c>
      <c r="J216" s="15">
        <f t="shared" si="60"/>
        <v>15</v>
      </c>
      <c r="K216" s="15">
        <f t="shared" si="60"/>
        <v>16</v>
      </c>
      <c r="L216" s="15">
        <v>-60.31</v>
      </c>
      <c r="M216" s="15">
        <v>6.44</v>
      </c>
      <c r="N216" s="15">
        <f t="shared" si="57"/>
        <v>9.3649068322981357</v>
      </c>
      <c r="O216" s="22"/>
      <c r="P216" s="22"/>
      <c r="Q216" s="22"/>
      <c r="R216" s="15"/>
      <c r="S216" s="15"/>
    </row>
    <row r="217" spans="1:19" x14ac:dyDescent="0.15">
      <c r="H217" s="15">
        <v>11</v>
      </c>
      <c r="I217" s="15">
        <v>12</v>
      </c>
      <c r="J217" s="15">
        <f t="shared" si="60"/>
        <v>16</v>
      </c>
      <c r="K217" s="15">
        <f t="shared" si="60"/>
        <v>17</v>
      </c>
      <c r="L217" s="15">
        <v>-35.340000000000003</v>
      </c>
      <c r="M217" s="15">
        <v>6.33</v>
      </c>
      <c r="N217" s="15">
        <f t="shared" si="57"/>
        <v>5.5829383886255926</v>
      </c>
      <c r="O217" s="22"/>
      <c r="P217" s="22"/>
      <c r="Q217" s="22"/>
      <c r="R217" s="15"/>
      <c r="S217" s="15"/>
    </row>
    <row r="218" spans="1:19" x14ac:dyDescent="0.15">
      <c r="H218" s="15">
        <v>11</v>
      </c>
      <c r="I218" s="15">
        <v>12</v>
      </c>
      <c r="J218" s="15">
        <f t="shared" si="60"/>
        <v>17</v>
      </c>
      <c r="K218" s="15">
        <f t="shared" si="60"/>
        <v>18</v>
      </c>
      <c r="L218" s="15">
        <v>-18.440000000000001</v>
      </c>
      <c r="M218" s="22">
        <v>6.5</v>
      </c>
      <c r="N218" s="15">
        <f t="shared" si="57"/>
        <v>2.8369230769230773</v>
      </c>
      <c r="O218" s="22"/>
      <c r="P218" s="22"/>
      <c r="Q218" s="22"/>
      <c r="R218" s="22"/>
      <c r="S218" s="22"/>
    </row>
    <row r="219" spans="1:19" x14ac:dyDescent="0.15">
      <c r="H219" s="15">
        <v>11</v>
      </c>
      <c r="I219" s="15">
        <v>12</v>
      </c>
      <c r="J219" s="15">
        <f t="shared" si="60"/>
        <v>18</v>
      </c>
      <c r="K219" s="15">
        <f t="shared" si="60"/>
        <v>19</v>
      </c>
      <c r="L219" s="15">
        <v>-14.21</v>
      </c>
      <c r="M219" s="22">
        <v>6.25</v>
      </c>
      <c r="N219" s="15">
        <f t="shared" si="57"/>
        <v>2.2736000000000001</v>
      </c>
      <c r="O219" s="22"/>
      <c r="P219" s="22"/>
      <c r="Q219" s="22"/>
      <c r="R219" s="22"/>
      <c r="S219" s="22"/>
    </row>
    <row r="220" spans="1:19" x14ac:dyDescent="0.15">
      <c r="H220" s="15">
        <v>11</v>
      </c>
      <c r="I220" s="15">
        <v>12</v>
      </c>
      <c r="J220" s="15">
        <f t="shared" si="60"/>
        <v>19</v>
      </c>
      <c r="K220" s="15">
        <f t="shared" si="60"/>
        <v>20</v>
      </c>
      <c r="L220" s="15">
        <v>-11</v>
      </c>
      <c r="M220" s="22">
        <v>6.55</v>
      </c>
      <c r="N220" s="15">
        <f t="shared" si="57"/>
        <v>1.6793893129770994</v>
      </c>
      <c r="O220" s="22"/>
      <c r="P220" s="22"/>
      <c r="Q220" s="22"/>
      <c r="R220" s="22"/>
      <c r="S220" s="22"/>
    </row>
    <row r="221" spans="1:19" x14ac:dyDescent="0.15">
      <c r="H221" s="15">
        <v>11</v>
      </c>
      <c r="I221" s="15">
        <v>12</v>
      </c>
      <c r="J221" s="15">
        <f t="shared" si="60"/>
        <v>20</v>
      </c>
      <c r="K221" s="15">
        <f t="shared" si="60"/>
        <v>21</v>
      </c>
      <c r="L221" s="15">
        <v>-9.85</v>
      </c>
      <c r="M221" s="22">
        <v>6.49</v>
      </c>
      <c r="N221" s="15">
        <f t="shared" si="57"/>
        <v>1.5177195685670262</v>
      </c>
      <c r="O221" s="22"/>
      <c r="P221" s="22"/>
      <c r="Q221" s="22"/>
      <c r="R221" s="22"/>
      <c r="S221" s="22"/>
    </row>
    <row r="222" spans="1:19" x14ac:dyDescent="0.15">
      <c r="H222" s="15">
        <v>11</v>
      </c>
      <c r="I222" s="15">
        <v>12</v>
      </c>
      <c r="J222" s="15">
        <f t="shared" si="60"/>
        <v>21</v>
      </c>
      <c r="K222" s="15">
        <f t="shared" si="60"/>
        <v>22</v>
      </c>
      <c r="L222" s="15">
        <v>-9.43</v>
      </c>
      <c r="M222" s="22">
        <v>6.77</v>
      </c>
      <c r="N222" s="15">
        <f t="shared" si="57"/>
        <v>1.3929098966026587</v>
      </c>
      <c r="O222" s="22"/>
      <c r="P222" s="22"/>
      <c r="Q222" s="22"/>
      <c r="R222" s="22"/>
      <c r="S222" s="22"/>
    </row>
    <row r="223" spans="1:19" x14ac:dyDescent="0.15">
      <c r="H223" s="15">
        <v>11</v>
      </c>
      <c r="I223" s="15">
        <v>12</v>
      </c>
      <c r="J223" s="15">
        <f t="shared" si="60"/>
        <v>22</v>
      </c>
      <c r="K223" s="15">
        <f t="shared" si="60"/>
        <v>23</v>
      </c>
      <c r="L223" s="15">
        <v>-10.33</v>
      </c>
      <c r="M223" s="22">
        <v>7</v>
      </c>
      <c r="N223" s="15">
        <f t="shared" si="57"/>
        <v>1.4757142857142858</v>
      </c>
      <c r="O223" s="22"/>
      <c r="P223" s="22"/>
      <c r="Q223" s="22"/>
      <c r="R223" s="22"/>
      <c r="S223" s="22"/>
    </row>
    <row r="224" spans="1:19" x14ac:dyDescent="0.15">
      <c r="H224" s="15">
        <v>11</v>
      </c>
      <c r="I224" s="15">
        <v>12</v>
      </c>
      <c r="J224" s="15">
        <f t="shared" si="60"/>
        <v>23</v>
      </c>
      <c r="K224" s="15">
        <f t="shared" si="60"/>
        <v>24</v>
      </c>
      <c r="L224" s="15">
        <v>-9.98</v>
      </c>
      <c r="M224" s="22">
        <v>7.01</v>
      </c>
      <c r="N224" s="15">
        <f t="shared" si="57"/>
        <v>1.4236804564907277</v>
      </c>
      <c r="O224" s="22"/>
      <c r="P224" s="22"/>
      <c r="Q224" s="22"/>
      <c r="R224" s="22"/>
      <c r="S224" s="22"/>
    </row>
    <row r="225" spans="8:19" x14ac:dyDescent="0.15">
      <c r="H225" s="15">
        <v>11</v>
      </c>
      <c r="I225" s="15">
        <v>12</v>
      </c>
      <c r="J225" s="15">
        <f>J224+1</f>
        <v>24</v>
      </c>
      <c r="K225" s="15">
        <v>1</v>
      </c>
      <c r="L225" s="15">
        <v>-11.86</v>
      </c>
      <c r="M225" s="22">
        <v>7.46</v>
      </c>
      <c r="N225" s="15">
        <f t="shared" si="57"/>
        <v>1.5898123324396782</v>
      </c>
      <c r="O225" s="22"/>
      <c r="P225" s="22"/>
      <c r="Q225" s="22"/>
      <c r="R225" s="22"/>
      <c r="S225" s="22"/>
    </row>
    <row r="226" spans="8:19" x14ac:dyDescent="0.15">
      <c r="H226" s="15">
        <v>11</v>
      </c>
      <c r="I226" s="15">
        <v>12</v>
      </c>
      <c r="J226" s="15">
        <v>1</v>
      </c>
      <c r="K226" s="15">
        <f t="shared" ref="K226:K234" si="61">K225+1</f>
        <v>2</v>
      </c>
      <c r="L226" s="15">
        <v>-13.37</v>
      </c>
      <c r="M226" s="22">
        <v>7.35</v>
      </c>
      <c r="N226" s="15">
        <f t="shared" si="57"/>
        <v>1.819047619047619</v>
      </c>
      <c r="O226" s="22"/>
      <c r="P226" s="22"/>
      <c r="Q226" s="22"/>
      <c r="R226" s="22"/>
      <c r="S226" s="22"/>
    </row>
    <row r="227" spans="8:19" x14ac:dyDescent="0.15">
      <c r="H227" s="15">
        <v>11</v>
      </c>
      <c r="I227" s="15">
        <v>12</v>
      </c>
      <c r="J227" s="15">
        <f t="shared" ref="J227:J234" si="62">J226+1</f>
        <v>2</v>
      </c>
      <c r="K227" s="15">
        <f t="shared" si="61"/>
        <v>3</v>
      </c>
      <c r="L227" s="15">
        <v>-14.83</v>
      </c>
      <c r="M227" s="22">
        <v>7.19</v>
      </c>
      <c r="N227" s="15">
        <f t="shared" si="57"/>
        <v>2.0625869262865089</v>
      </c>
      <c r="O227" s="22"/>
      <c r="P227" s="22"/>
      <c r="Q227" s="22"/>
      <c r="R227" s="22"/>
      <c r="S227" s="22"/>
    </row>
    <row r="228" spans="8:19" x14ac:dyDescent="0.15">
      <c r="H228" s="15">
        <v>11</v>
      </c>
      <c r="I228" s="15">
        <v>12</v>
      </c>
      <c r="J228" s="15">
        <f t="shared" si="62"/>
        <v>3</v>
      </c>
      <c r="K228" s="15">
        <f t="shared" si="61"/>
        <v>4</v>
      </c>
      <c r="L228" s="15">
        <v>-16.45</v>
      </c>
      <c r="M228" s="22">
        <v>7.05</v>
      </c>
      <c r="N228" s="15">
        <f t="shared" si="57"/>
        <v>2.3333333333333335</v>
      </c>
      <c r="O228" s="22"/>
      <c r="P228" s="22"/>
      <c r="Q228" s="22"/>
      <c r="R228" s="22"/>
      <c r="S228" s="22"/>
    </row>
    <row r="229" spans="8:19" x14ac:dyDescent="0.15">
      <c r="H229" s="15">
        <v>11</v>
      </c>
      <c r="I229" s="15">
        <v>12</v>
      </c>
      <c r="J229" s="15">
        <f t="shared" si="62"/>
        <v>4</v>
      </c>
      <c r="K229" s="15">
        <f t="shared" si="61"/>
        <v>5</v>
      </c>
      <c r="L229" s="15">
        <v>-20.71</v>
      </c>
      <c r="M229" s="22">
        <v>6.6</v>
      </c>
      <c r="N229" s="15">
        <f t="shared" si="57"/>
        <v>3.1378787878787882</v>
      </c>
      <c r="O229" s="22"/>
      <c r="P229" s="22"/>
      <c r="Q229" s="22"/>
      <c r="R229" s="22"/>
      <c r="S229" s="22"/>
    </row>
    <row r="230" spans="8:19" x14ac:dyDescent="0.15">
      <c r="H230" s="15">
        <v>11</v>
      </c>
      <c r="I230" s="15">
        <v>12</v>
      </c>
      <c r="J230" s="15">
        <f t="shared" si="62"/>
        <v>5</v>
      </c>
      <c r="K230" s="15">
        <f t="shared" si="61"/>
        <v>6</v>
      </c>
      <c r="L230" s="15">
        <v>-23.26</v>
      </c>
      <c r="M230" s="22">
        <v>6.29</v>
      </c>
      <c r="N230" s="15">
        <f t="shared" si="57"/>
        <v>3.6979332273449921</v>
      </c>
      <c r="O230" s="22"/>
      <c r="P230" s="22"/>
      <c r="Q230" s="22"/>
      <c r="R230" s="22"/>
      <c r="S230" s="22"/>
    </row>
    <row r="231" spans="8:19" x14ac:dyDescent="0.15">
      <c r="H231" s="15">
        <v>11</v>
      </c>
      <c r="I231" s="15">
        <v>12</v>
      </c>
      <c r="J231" s="15">
        <f t="shared" si="62"/>
        <v>6</v>
      </c>
      <c r="K231" s="15">
        <f t="shared" si="61"/>
        <v>7</v>
      </c>
      <c r="L231" s="15">
        <v>-34.72</v>
      </c>
      <c r="M231" s="22">
        <v>6.52</v>
      </c>
      <c r="N231" s="15">
        <f t="shared" si="57"/>
        <v>5.3251533742331292</v>
      </c>
      <c r="O231" s="22"/>
      <c r="P231" s="22"/>
      <c r="Q231" s="22"/>
      <c r="R231" s="22"/>
      <c r="S231" s="22"/>
    </row>
    <row r="232" spans="8:19" x14ac:dyDescent="0.15">
      <c r="H232" s="15">
        <v>11</v>
      </c>
      <c r="I232" s="15">
        <v>12</v>
      </c>
      <c r="J232" s="15">
        <f t="shared" si="62"/>
        <v>7</v>
      </c>
      <c r="K232" s="15">
        <f t="shared" si="61"/>
        <v>8</v>
      </c>
      <c r="L232" s="15">
        <v>-61.78</v>
      </c>
      <c r="M232" s="22">
        <v>6.65</v>
      </c>
      <c r="N232" s="15">
        <f t="shared" si="57"/>
        <v>9.2902255639097735</v>
      </c>
      <c r="O232" s="22"/>
      <c r="P232" s="22"/>
      <c r="Q232" s="22"/>
      <c r="R232" s="22"/>
      <c r="S232" s="22"/>
    </row>
    <row r="233" spans="8:19" x14ac:dyDescent="0.15">
      <c r="H233" s="15">
        <v>11</v>
      </c>
      <c r="I233" s="15">
        <v>12</v>
      </c>
      <c r="J233" s="15">
        <f t="shared" si="62"/>
        <v>8</v>
      </c>
      <c r="K233" s="15">
        <f t="shared" si="61"/>
        <v>9</v>
      </c>
      <c r="L233" s="15">
        <v>-184.03</v>
      </c>
      <c r="M233" s="22">
        <v>10.63</v>
      </c>
      <c r="N233" s="15">
        <f t="shared" si="57"/>
        <v>17.312323612417686</v>
      </c>
      <c r="O233" s="22"/>
      <c r="P233" s="22"/>
      <c r="Q233" s="22"/>
      <c r="R233" s="22"/>
      <c r="S233" s="22"/>
    </row>
    <row r="234" spans="8:19" x14ac:dyDescent="0.15">
      <c r="H234" s="15">
        <v>11</v>
      </c>
      <c r="I234" s="15">
        <v>12</v>
      </c>
      <c r="J234" s="15">
        <f t="shared" si="62"/>
        <v>9</v>
      </c>
      <c r="K234" s="15">
        <f t="shared" si="61"/>
        <v>10</v>
      </c>
      <c r="L234" s="15">
        <v>-761.69</v>
      </c>
      <c r="M234" s="22">
        <v>10.85</v>
      </c>
      <c r="N234" s="15">
        <f t="shared" si="57"/>
        <v>70.201843317972362</v>
      </c>
      <c r="O234" s="22"/>
      <c r="P234" s="22"/>
      <c r="Q234" s="22"/>
      <c r="R234" s="22"/>
      <c r="S234" s="22"/>
    </row>
    <row r="235" spans="8:19" x14ac:dyDescent="0.15">
      <c r="H235" s="15">
        <v>12</v>
      </c>
      <c r="I235" s="15">
        <v>13</v>
      </c>
      <c r="J235" s="15">
        <f>I235+1</f>
        <v>14</v>
      </c>
      <c r="K235" s="15">
        <f>J235+1</f>
        <v>15</v>
      </c>
      <c r="L235" s="15">
        <v>-665.34</v>
      </c>
      <c r="M235" s="22">
        <v>9</v>
      </c>
      <c r="N235" s="15">
        <f t="shared" si="57"/>
        <v>73.926666666666677</v>
      </c>
      <c r="O235" s="22"/>
      <c r="P235" s="22"/>
      <c r="Q235" s="22"/>
      <c r="R235" s="22"/>
      <c r="S235" s="22"/>
    </row>
    <row r="236" spans="8:19" x14ac:dyDescent="0.15">
      <c r="H236" s="15">
        <v>12</v>
      </c>
      <c r="I236" s="15">
        <v>13</v>
      </c>
      <c r="J236" s="15">
        <f t="shared" ref="J236:K244" si="63">J235+1</f>
        <v>15</v>
      </c>
      <c r="K236" s="15">
        <f t="shared" si="63"/>
        <v>16</v>
      </c>
      <c r="L236" s="15">
        <v>-201.97</v>
      </c>
      <c r="M236" s="22">
        <v>9.33</v>
      </c>
      <c r="N236" s="15">
        <f t="shared" si="57"/>
        <v>21.64737406216506</v>
      </c>
      <c r="O236" s="22"/>
      <c r="P236" s="22"/>
      <c r="Q236" s="22"/>
      <c r="R236" s="22"/>
      <c r="S236" s="22"/>
    </row>
    <row r="237" spans="8:19" x14ac:dyDescent="0.15">
      <c r="H237" s="15">
        <v>12</v>
      </c>
      <c r="I237" s="15">
        <v>13</v>
      </c>
      <c r="J237" s="15">
        <f t="shared" si="63"/>
        <v>16</v>
      </c>
      <c r="K237" s="15">
        <f t="shared" si="63"/>
        <v>17</v>
      </c>
      <c r="L237" s="15">
        <v>-82.1</v>
      </c>
      <c r="M237" s="22">
        <v>9.31</v>
      </c>
      <c r="N237" s="15">
        <f t="shared" si="57"/>
        <v>8.8184747583243812</v>
      </c>
      <c r="O237" s="22"/>
      <c r="P237" s="22"/>
      <c r="Q237" s="22"/>
      <c r="R237" s="22"/>
      <c r="S237" s="22"/>
    </row>
    <row r="238" spans="8:19" x14ac:dyDescent="0.15">
      <c r="H238" s="15">
        <v>12</v>
      </c>
      <c r="I238" s="15">
        <v>13</v>
      </c>
      <c r="J238" s="15">
        <f t="shared" si="63"/>
        <v>17</v>
      </c>
      <c r="K238" s="15">
        <f t="shared" si="63"/>
        <v>18</v>
      </c>
      <c r="L238" s="15">
        <v>-37.840000000000003</v>
      </c>
      <c r="M238" s="22">
        <v>8.5399999999999991</v>
      </c>
      <c r="N238" s="15">
        <f t="shared" si="57"/>
        <v>4.4309133489461363</v>
      </c>
      <c r="O238" s="22"/>
      <c r="P238" s="22"/>
      <c r="Q238" s="22"/>
      <c r="R238" s="22"/>
      <c r="S238" s="22"/>
    </row>
    <row r="239" spans="8:19" x14ac:dyDescent="0.15">
      <c r="H239" s="15">
        <v>12</v>
      </c>
      <c r="I239" s="15">
        <v>13</v>
      </c>
      <c r="J239" s="15">
        <f t="shared" si="63"/>
        <v>18</v>
      </c>
      <c r="K239" s="15">
        <f t="shared" si="63"/>
        <v>19</v>
      </c>
      <c r="L239" s="15">
        <v>-25.01</v>
      </c>
      <c r="M239" s="22">
        <v>8.35</v>
      </c>
      <c r="N239" s="15">
        <f t="shared" si="57"/>
        <v>2.9952095808383237</v>
      </c>
      <c r="O239" s="22"/>
      <c r="P239" s="22"/>
      <c r="Q239" s="22"/>
      <c r="R239" s="22"/>
      <c r="S239" s="22"/>
    </row>
    <row r="240" spans="8:19" x14ac:dyDescent="0.15">
      <c r="H240" s="15">
        <v>12</v>
      </c>
      <c r="I240" s="15">
        <v>13</v>
      </c>
      <c r="J240" s="15">
        <f t="shared" si="63"/>
        <v>19</v>
      </c>
      <c r="K240" s="15">
        <f t="shared" si="63"/>
        <v>20</v>
      </c>
      <c r="L240" s="15">
        <v>-17.3</v>
      </c>
      <c r="M240" s="22">
        <v>8.7799999999999994</v>
      </c>
      <c r="N240" s="15">
        <f t="shared" si="57"/>
        <v>1.9703872437357632</v>
      </c>
      <c r="O240" s="22"/>
      <c r="P240" s="22"/>
      <c r="Q240" s="22"/>
      <c r="R240" s="22"/>
      <c r="S240" s="22"/>
    </row>
    <row r="241" spans="8:19" x14ac:dyDescent="0.15">
      <c r="H241" s="15">
        <v>12</v>
      </c>
      <c r="I241" s="15">
        <v>13</v>
      </c>
      <c r="J241" s="15">
        <f t="shared" si="63"/>
        <v>20</v>
      </c>
      <c r="K241" s="15">
        <f t="shared" si="63"/>
        <v>21</v>
      </c>
      <c r="L241" s="15">
        <v>-14.12</v>
      </c>
      <c r="M241" s="22">
        <v>8.85</v>
      </c>
      <c r="N241" s="15">
        <f t="shared" si="57"/>
        <v>1.5954802259887007</v>
      </c>
      <c r="O241" s="22"/>
      <c r="P241" s="22"/>
      <c r="Q241" s="22"/>
      <c r="R241" s="22"/>
      <c r="S241" s="22"/>
    </row>
    <row r="242" spans="8:19" x14ac:dyDescent="0.15">
      <c r="H242" s="15">
        <v>12</v>
      </c>
      <c r="I242" s="15">
        <v>13</v>
      </c>
      <c r="J242" s="15">
        <f t="shared" si="63"/>
        <v>21</v>
      </c>
      <c r="K242" s="15">
        <f t="shared" si="63"/>
        <v>22</v>
      </c>
      <c r="L242" s="15">
        <v>-12.46</v>
      </c>
      <c r="M242" s="22">
        <v>8.6300000000000008</v>
      </c>
      <c r="N242" s="15">
        <f t="shared" si="57"/>
        <v>1.4438006952491309</v>
      </c>
      <c r="O242" s="22"/>
      <c r="P242" s="22"/>
      <c r="Q242" s="22"/>
      <c r="R242" s="22"/>
      <c r="S242" s="22"/>
    </row>
    <row r="243" spans="8:19" x14ac:dyDescent="0.15">
      <c r="H243" s="15">
        <v>12</v>
      </c>
      <c r="I243" s="15">
        <v>13</v>
      </c>
      <c r="J243" s="15">
        <f t="shared" si="63"/>
        <v>22</v>
      </c>
      <c r="K243" s="15">
        <f t="shared" si="63"/>
        <v>23</v>
      </c>
      <c r="L243" s="15">
        <v>-12.45</v>
      </c>
      <c r="M243" s="22">
        <v>8.85</v>
      </c>
      <c r="N243" s="15">
        <f t="shared" si="57"/>
        <v>1.4067796610169492</v>
      </c>
      <c r="O243" s="22"/>
      <c r="P243" s="22"/>
      <c r="Q243" s="22"/>
      <c r="R243" s="22"/>
      <c r="S243" s="22"/>
    </row>
    <row r="244" spans="8:19" x14ac:dyDescent="0.15">
      <c r="H244" s="15">
        <v>12</v>
      </c>
      <c r="I244" s="15">
        <v>13</v>
      </c>
      <c r="J244" s="15">
        <f t="shared" si="63"/>
        <v>23</v>
      </c>
      <c r="K244" s="15">
        <f t="shared" si="63"/>
        <v>24</v>
      </c>
      <c r="L244" s="15">
        <v>-12.07</v>
      </c>
      <c r="M244" s="22">
        <v>9.0399999999999991</v>
      </c>
      <c r="N244" s="15">
        <f t="shared" si="57"/>
        <v>1.3351769911504425</v>
      </c>
      <c r="O244" s="22"/>
      <c r="P244" s="22"/>
      <c r="Q244" s="22"/>
      <c r="R244" s="22"/>
      <c r="S244" s="22"/>
    </row>
    <row r="245" spans="8:19" x14ac:dyDescent="0.15">
      <c r="H245" s="15">
        <v>12</v>
      </c>
      <c r="I245" s="15">
        <v>13</v>
      </c>
      <c r="J245" s="15">
        <f>J244+1</f>
        <v>24</v>
      </c>
      <c r="K245" s="15">
        <v>1</v>
      </c>
      <c r="L245" s="15">
        <v>-12.29</v>
      </c>
      <c r="M245" s="22">
        <v>8.9700000000000006</v>
      </c>
      <c r="N245" s="15">
        <f t="shared" si="57"/>
        <v>1.3701226309921961</v>
      </c>
      <c r="O245" s="22"/>
      <c r="P245" s="22"/>
      <c r="Q245" s="22"/>
      <c r="R245" s="22"/>
      <c r="S245" s="22"/>
    </row>
    <row r="246" spans="8:19" x14ac:dyDescent="0.15">
      <c r="H246" s="15">
        <v>12</v>
      </c>
      <c r="I246" s="15">
        <v>13</v>
      </c>
      <c r="J246" s="15">
        <v>1</v>
      </c>
      <c r="K246" s="15">
        <f t="shared" ref="K246:K255" si="64">K245+1</f>
        <v>2</v>
      </c>
      <c r="L246" s="15">
        <v>-14.8</v>
      </c>
      <c r="M246" s="22">
        <v>9.2100000000000009</v>
      </c>
      <c r="N246" s="15">
        <f t="shared" si="57"/>
        <v>1.6069489685124863</v>
      </c>
      <c r="O246" s="22"/>
      <c r="P246" s="22"/>
      <c r="Q246" s="22"/>
      <c r="R246" s="22"/>
      <c r="S246" s="22"/>
    </row>
    <row r="247" spans="8:19" x14ac:dyDescent="0.15">
      <c r="H247" s="15">
        <v>12</v>
      </c>
      <c r="I247" s="15">
        <v>13</v>
      </c>
      <c r="J247" s="15">
        <f t="shared" ref="J247:J255" si="65">J246+1</f>
        <v>2</v>
      </c>
      <c r="K247" s="15">
        <f t="shared" si="64"/>
        <v>3</v>
      </c>
      <c r="L247" s="15">
        <v>-15.5</v>
      </c>
      <c r="M247" s="22">
        <v>9.16</v>
      </c>
      <c r="N247" s="15">
        <f t="shared" si="57"/>
        <v>1.6921397379912664</v>
      </c>
      <c r="O247" s="22"/>
      <c r="P247" s="22"/>
      <c r="Q247" s="22"/>
      <c r="R247" s="22"/>
      <c r="S247" s="22"/>
    </row>
    <row r="248" spans="8:19" x14ac:dyDescent="0.15">
      <c r="H248" s="15">
        <v>12</v>
      </c>
      <c r="I248" s="15">
        <v>13</v>
      </c>
      <c r="J248" s="15">
        <f t="shared" si="65"/>
        <v>3</v>
      </c>
      <c r="K248" s="15">
        <f t="shared" si="64"/>
        <v>4</v>
      </c>
      <c r="L248" s="15">
        <v>-17.18</v>
      </c>
      <c r="M248" s="22">
        <v>9.15</v>
      </c>
      <c r="N248" s="15">
        <f t="shared" si="57"/>
        <v>1.8775956284153004</v>
      </c>
      <c r="O248" s="22"/>
      <c r="P248" s="22"/>
      <c r="Q248" s="22"/>
      <c r="R248" s="22"/>
      <c r="S248" s="22"/>
    </row>
    <row r="249" spans="8:19" x14ac:dyDescent="0.15">
      <c r="H249" s="15">
        <v>12</v>
      </c>
      <c r="I249" s="15">
        <v>13</v>
      </c>
      <c r="J249" s="15">
        <f t="shared" si="65"/>
        <v>4</v>
      </c>
      <c r="K249" s="15">
        <f t="shared" si="64"/>
        <v>5</v>
      </c>
      <c r="L249" s="15">
        <v>-21.38</v>
      </c>
      <c r="M249" s="22">
        <v>8.92</v>
      </c>
      <c r="N249" s="15">
        <f t="shared" si="57"/>
        <v>2.3968609865470851</v>
      </c>
      <c r="O249" s="22"/>
      <c r="P249" s="22"/>
      <c r="Q249" s="22"/>
      <c r="R249" s="22"/>
      <c r="S249" s="22"/>
    </row>
    <row r="250" spans="8:19" x14ac:dyDescent="0.15">
      <c r="H250" s="15">
        <v>12</v>
      </c>
      <c r="I250" s="15">
        <v>13</v>
      </c>
      <c r="J250" s="15">
        <f t="shared" si="65"/>
        <v>5</v>
      </c>
      <c r="K250" s="15">
        <f t="shared" si="64"/>
        <v>6</v>
      </c>
      <c r="L250" s="15">
        <v>-23.69</v>
      </c>
      <c r="M250" s="22">
        <v>9.1</v>
      </c>
      <c r="N250" s="15">
        <f t="shared" si="57"/>
        <v>2.6032967032967034</v>
      </c>
      <c r="O250" s="22"/>
      <c r="P250" s="22"/>
      <c r="Q250" s="22"/>
      <c r="R250" s="22"/>
      <c r="S250" s="22"/>
    </row>
    <row r="251" spans="8:19" x14ac:dyDescent="0.15">
      <c r="H251" s="15">
        <v>12</v>
      </c>
      <c r="I251" s="15">
        <v>13</v>
      </c>
      <c r="J251" s="15">
        <f t="shared" si="65"/>
        <v>6</v>
      </c>
      <c r="K251" s="15">
        <f t="shared" si="64"/>
        <v>7</v>
      </c>
      <c r="L251" s="15">
        <v>-30.36</v>
      </c>
      <c r="M251" s="22">
        <v>8.8000000000000007</v>
      </c>
      <c r="N251" s="15">
        <f t="shared" si="57"/>
        <v>3.4499999999999997</v>
      </c>
      <c r="O251" s="22"/>
      <c r="P251" s="22"/>
      <c r="Q251" s="22"/>
      <c r="R251" s="22"/>
      <c r="S251" s="22"/>
    </row>
    <row r="252" spans="8:19" x14ac:dyDescent="0.15">
      <c r="H252" s="15">
        <v>12</v>
      </c>
      <c r="I252" s="15">
        <v>13</v>
      </c>
      <c r="J252" s="15">
        <f t="shared" si="65"/>
        <v>7</v>
      </c>
      <c r="K252" s="15">
        <f t="shared" si="64"/>
        <v>8</v>
      </c>
      <c r="L252" s="15">
        <v>-46.3</v>
      </c>
      <c r="M252" s="22">
        <v>8.73</v>
      </c>
      <c r="N252" s="15">
        <f t="shared" si="57"/>
        <v>5.3035509736540662</v>
      </c>
      <c r="O252" s="22"/>
      <c r="P252" s="22"/>
      <c r="Q252" s="22"/>
      <c r="R252" s="22"/>
      <c r="S252" s="22"/>
    </row>
    <row r="253" spans="8:19" x14ac:dyDescent="0.15">
      <c r="H253" s="15">
        <v>12</v>
      </c>
      <c r="I253" s="15">
        <v>13</v>
      </c>
      <c r="J253" s="15">
        <f t="shared" si="65"/>
        <v>8</v>
      </c>
      <c r="K253" s="15">
        <f t="shared" si="64"/>
        <v>9</v>
      </c>
      <c r="L253" s="15">
        <v>-71.75</v>
      </c>
      <c r="M253" s="22">
        <v>8.86</v>
      </c>
      <c r="N253" s="15">
        <f t="shared" si="57"/>
        <v>8.0981941309255081</v>
      </c>
      <c r="O253" s="22"/>
      <c r="P253" s="22"/>
      <c r="Q253" s="22"/>
      <c r="R253" s="22"/>
      <c r="S253" s="22"/>
    </row>
    <row r="254" spans="8:19" x14ac:dyDescent="0.15">
      <c r="H254" s="15">
        <v>12</v>
      </c>
      <c r="I254" s="15">
        <v>13</v>
      </c>
      <c r="J254" s="15">
        <f t="shared" si="65"/>
        <v>9</v>
      </c>
      <c r="K254" s="15">
        <f t="shared" si="64"/>
        <v>10</v>
      </c>
      <c r="L254" s="15">
        <v>-195.81</v>
      </c>
      <c r="M254" s="22">
        <v>11.06</v>
      </c>
      <c r="N254" s="15">
        <f t="shared" si="57"/>
        <v>17.704339963833633</v>
      </c>
      <c r="O254" s="22"/>
      <c r="P254" s="22"/>
      <c r="Q254" s="22"/>
      <c r="R254" s="22"/>
      <c r="S254" s="22"/>
    </row>
    <row r="255" spans="8:19" x14ac:dyDescent="0.15">
      <c r="H255" s="15">
        <v>12</v>
      </c>
      <c r="I255" s="15">
        <v>13</v>
      </c>
      <c r="J255" s="15">
        <f t="shared" si="65"/>
        <v>10</v>
      </c>
      <c r="K255" s="15">
        <f t="shared" si="64"/>
        <v>11</v>
      </c>
      <c r="L255" s="22">
        <v>-757.16</v>
      </c>
      <c r="M255" s="22">
        <v>11.02</v>
      </c>
      <c r="N255" s="15">
        <f t="shared" si="57"/>
        <v>68.707803992740466</v>
      </c>
      <c r="O255" s="22"/>
      <c r="P255" s="22"/>
      <c r="Q255" s="22"/>
      <c r="R255" s="22"/>
      <c r="S255" s="22"/>
    </row>
    <row r="256" spans="8:19" x14ac:dyDescent="0.15">
      <c r="H256" s="15">
        <v>13</v>
      </c>
      <c r="I256" s="15">
        <v>14</v>
      </c>
      <c r="J256" s="15">
        <f>I256+1</f>
        <v>15</v>
      </c>
      <c r="K256" s="15">
        <f>J256+1</f>
        <v>16</v>
      </c>
      <c r="L256" s="15">
        <v>-730.02</v>
      </c>
      <c r="M256" s="22">
        <v>8.27</v>
      </c>
      <c r="N256" s="15">
        <f t="shared" si="57"/>
        <v>88.273276904474002</v>
      </c>
      <c r="O256" s="22"/>
      <c r="P256" s="22"/>
      <c r="Q256" s="22"/>
      <c r="R256" s="22"/>
      <c r="S256" s="22"/>
    </row>
    <row r="257" spans="8:19" x14ac:dyDescent="0.15">
      <c r="H257" s="15">
        <v>13</v>
      </c>
      <c r="I257" s="15">
        <v>14</v>
      </c>
      <c r="J257" s="15">
        <f t="shared" ref="J257:K264" si="66">J256+1</f>
        <v>16</v>
      </c>
      <c r="K257" s="15">
        <f t="shared" si="66"/>
        <v>17</v>
      </c>
      <c r="L257" s="15">
        <v>-171.75</v>
      </c>
      <c r="M257" s="22">
        <v>8.32</v>
      </c>
      <c r="N257" s="15">
        <f t="shared" si="57"/>
        <v>20.643028846153847</v>
      </c>
      <c r="O257" s="22"/>
      <c r="P257" s="22"/>
      <c r="Q257" s="22"/>
      <c r="R257" s="22"/>
      <c r="S257" s="22"/>
    </row>
    <row r="258" spans="8:19" x14ac:dyDescent="0.15">
      <c r="H258" s="15">
        <v>13</v>
      </c>
      <c r="I258" s="15">
        <v>14</v>
      </c>
      <c r="J258" s="15">
        <f t="shared" si="66"/>
        <v>17</v>
      </c>
      <c r="K258" s="15">
        <f t="shared" si="66"/>
        <v>18</v>
      </c>
      <c r="L258" s="15">
        <v>-70.45</v>
      </c>
      <c r="M258" s="22">
        <v>8.34</v>
      </c>
      <c r="N258" s="15">
        <f t="shared" si="57"/>
        <v>8.4472422062350123</v>
      </c>
      <c r="O258" s="22"/>
      <c r="P258" s="22"/>
      <c r="Q258" s="22"/>
      <c r="R258" s="22"/>
      <c r="S258" s="22"/>
    </row>
    <row r="259" spans="8:19" x14ac:dyDescent="0.15">
      <c r="H259" s="15">
        <v>13</v>
      </c>
      <c r="I259" s="15">
        <v>14</v>
      </c>
      <c r="J259" s="15">
        <f t="shared" si="66"/>
        <v>18</v>
      </c>
      <c r="K259" s="15">
        <f t="shared" si="66"/>
        <v>19</v>
      </c>
      <c r="L259" s="15">
        <v>-38.35</v>
      </c>
      <c r="M259" s="22">
        <v>8.4700000000000006</v>
      </c>
      <c r="N259" s="15">
        <f t="shared" si="57"/>
        <v>4.5277449822904368</v>
      </c>
      <c r="O259" s="22"/>
      <c r="P259" s="22"/>
      <c r="Q259" s="22"/>
      <c r="R259" s="22"/>
      <c r="S259" s="22"/>
    </row>
    <row r="260" spans="8:19" x14ac:dyDescent="0.15">
      <c r="H260" s="15">
        <v>13</v>
      </c>
      <c r="I260" s="15">
        <v>14</v>
      </c>
      <c r="J260" s="15">
        <f t="shared" si="66"/>
        <v>19</v>
      </c>
      <c r="K260" s="15">
        <f t="shared" si="66"/>
        <v>20</v>
      </c>
      <c r="L260" s="15">
        <v>-22.2</v>
      </c>
      <c r="M260" s="22">
        <v>8.2100000000000009</v>
      </c>
      <c r="N260" s="15">
        <f t="shared" si="57"/>
        <v>2.7040194884287452</v>
      </c>
      <c r="O260" s="22"/>
      <c r="P260" s="22"/>
      <c r="Q260" s="22"/>
      <c r="R260" s="22"/>
      <c r="S260" s="22"/>
    </row>
    <row r="261" spans="8:19" x14ac:dyDescent="0.15">
      <c r="H261" s="15">
        <v>13</v>
      </c>
      <c r="I261" s="15">
        <v>14</v>
      </c>
      <c r="J261" s="15">
        <f t="shared" si="66"/>
        <v>20</v>
      </c>
      <c r="K261" s="15">
        <f t="shared" si="66"/>
        <v>21</v>
      </c>
      <c r="L261" s="15">
        <v>-15.98</v>
      </c>
      <c r="M261" s="22">
        <v>8.4</v>
      </c>
      <c r="N261" s="15">
        <f t="shared" ref="N261:N324" si="67">-L261/M261</f>
        <v>1.9023809523809523</v>
      </c>
      <c r="O261" s="22"/>
      <c r="P261" s="22"/>
      <c r="Q261" s="22"/>
      <c r="R261" s="22"/>
      <c r="S261" s="22"/>
    </row>
    <row r="262" spans="8:19" x14ac:dyDescent="0.15">
      <c r="H262" s="15">
        <v>13</v>
      </c>
      <c r="I262" s="15">
        <v>14</v>
      </c>
      <c r="J262" s="15">
        <f t="shared" si="66"/>
        <v>21</v>
      </c>
      <c r="K262" s="15">
        <f t="shared" si="66"/>
        <v>22</v>
      </c>
      <c r="L262" s="15">
        <v>-13.73</v>
      </c>
      <c r="M262" s="22">
        <v>8.59</v>
      </c>
      <c r="N262" s="15">
        <f t="shared" si="67"/>
        <v>1.5983701979045402</v>
      </c>
      <c r="O262" s="22"/>
      <c r="P262" s="22"/>
      <c r="Q262" s="22"/>
      <c r="R262" s="22"/>
      <c r="S262" s="22"/>
    </row>
    <row r="263" spans="8:19" x14ac:dyDescent="0.15">
      <c r="H263" s="15">
        <v>13</v>
      </c>
      <c r="I263" s="15">
        <v>14</v>
      </c>
      <c r="J263" s="15">
        <f t="shared" si="66"/>
        <v>22</v>
      </c>
      <c r="K263" s="15">
        <f t="shared" si="66"/>
        <v>23</v>
      </c>
      <c r="L263" s="15">
        <v>-11.86</v>
      </c>
      <c r="M263" s="22">
        <v>8.33</v>
      </c>
      <c r="N263" s="15">
        <f t="shared" si="67"/>
        <v>1.4237695078031212</v>
      </c>
      <c r="O263" s="22"/>
      <c r="P263" s="22"/>
      <c r="Q263" s="22"/>
      <c r="R263" s="22"/>
      <c r="S263" s="22"/>
    </row>
    <row r="264" spans="8:19" x14ac:dyDescent="0.15">
      <c r="H264" s="15">
        <v>13</v>
      </c>
      <c r="I264" s="15">
        <v>14</v>
      </c>
      <c r="J264" s="15">
        <f t="shared" si="66"/>
        <v>23</v>
      </c>
      <c r="K264" s="15">
        <f t="shared" si="66"/>
        <v>24</v>
      </c>
      <c r="L264" s="15">
        <v>-9.59</v>
      </c>
      <c r="M264" s="22">
        <v>7.79</v>
      </c>
      <c r="N264" s="15">
        <f t="shared" si="67"/>
        <v>1.2310654685494222</v>
      </c>
      <c r="O264" s="22"/>
      <c r="P264" s="22"/>
      <c r="Q264" s="22"/>
      <c r="R264" s="22"/>
      <c r="S264" s="22"/>
    </row>
    <row r="265" spans="8:19" x14ac:dyDescent="0.15">
      <c r="H265" s="15">
        <v>13</v>
      </c>
      <c r="I265" s="15">
        <v>14</v>
      </c>
      <c r="J265" s="15">
        <f>J264+1</f>
        <v>24</v>
      </c>
      <c r="K265" s="15">
        <v>1</v>
      </c>
      <c r="L265" s="15">
        <v>-10.35</v>
      </c>
      <c r="M265" s="22">
        <v>8.16</v>
      </c>
      <c r="N265" s="15">
        <f t="shared" si="67"/>
        <v>1.2683823529411764</v>
      </c>
      <c r="O265" s="22"/>
      <c r="P265" s="22"/>
      <c r="Q265" s="22"/>
      <c r="R265" s="22"/>
      <c r="S265" s="22"/>
    </row>
    <row r="266" spans="8:19" x14ac:dyDescent="0.15">
      <c r="H266" s="15">
        <v>13</v>
      </c>
      <c r="I266" s="15">
        <v>14</v>
      </c>
      <c r="J266" s="15">
        <v>1</v>
      </c>
      <c r="K266" s="15">
        <f t="shared" ref="K266:K276" si="68">K265+1</f>
        <v>2</v>
      </c>
      <c r="L266" s="15">
        <v>-12.79</v>
      </c>
      <c r="M266" s="22">
        <v>8.51</v>
      </c>
      <c r="N266" s="15">
        <f t="shared" si="67"/>
        <v>1.5029377203290246</v>
      </c>
      <c r="O266" s="22"/>
      <c r="P266" s="22"/>
      <c r="Q266" s="22"/>
      <c r="R266" s="22"/>
      <c r="S266" s="22"/>
    </row>
    <row r="267" spans="8:19" x14ac:dyDescent="0.15">
      <c r="H267" s="15">
        <v>13</v>
      </c>
      <c r="I267" s="15">
        <v>14</v>
      </c>
      <c r="J267" s="15">
        <f t="shared" ref="J267:J276" si="69">J266+1</f>
        <v>2</v>
      </c>
      <c r="K267" s="15">
        <f t="shared" si="68"/>
        <v>3</v>
      </c>
      <c r="L267" s="15">
        <v>-11.99</v>
      </c>
      <c r="M267" s="22">
        <v>8.4499999999999993</v>
      </c>
      <c r="N267" s="15">
        <f t="shared" si="67"/>
        <v>1.4189349112426037</v>
      </c>
      <c r="O267" s="22"/>
      <c r="P267" s="22"/>
      <c r="Q267" s="22"/>
      <c r="R267" s="22"/>
      <c r="S267" s="22"/>
    </row>
    <row r="268" spans="8:19" x14ac:dyDescent="0.15">
      <c r="H268" s="15">
        <v>13</v>
      </c>
      <c r="I268" s="15">
        <v>14</v>
      </c>
      <c r="J268" s="15">
        <f t="shared" si="69"/>
        <v>3</v>
      </c>
      <c r="K268" s="15">
        <f t="shared" si="68"/>
        <v>4</v>
      </c>
      <c r="L268" s="15">
        <v>-13.74</v>
      </c>
      <c r="M268" s="22">
        <v>8.4700000000000006</v>
      </c>
      <c r="N268" s="15">
        <f t="shared" si="67"/>
        <v>1.6221959858323494</v>
      </c>
      <c r="O268" s="22"/>
      <c r="P268" s="22"/>
      <c r="Q268" s="22"/>
      <c r="R268" s="22"/>
      <c r="S268" s="22"/>
    </row>
    <row r="269" spans="8:19" x14ac:dyDescent="0.15">
      <c r="H269" s="15">
        <v>13</v>
      </c>
      <c r="I269" s="15">
        <v>14</v>
      </c>
      <c r="J269" s="15">
        <f t="shared" si="69"/>
        <v>4</v>
      </c>
      <c r="K269" s="15">
        <f t="shared" si="68"/>
        <v>5</v>
      </c>
      <c r="L269" s="15">
        <v>-15.82</v>
      </c>
      <c r="M269" s="22">
        <v>8.35</v>
      </c>
      <c r="N269" s="15">
        <f t="shared" si="67"/>
        <v>1.8946107784431139</v>
      </c>
      <c r="O269" s="22"/>
      <c r="P269" s="22"/>
      <c r="Q269" s="22"/>
      <c r="R269" s="22"/>
      <c r="S269" s="22"/>
    </row>
    <row r="270" spans="8:19" x14ac:dyDescent="0.15">
      <c r="H270" s="15">
        <v>13</v>
      </c>
      <c r="I270" s="15">
        <v>14</v>
      </c>
      <c r="J270" s="15">
        <f t="shared" si="69"/>
        <v>5</v>
      </c>
      <c r="K270" s="15">
        <f t="shared" si="68"/>
        <v>6</v>
      </c>
      <c r="L270" s="15">
        <v>-17.489999999999998</v>
      </c>
      <c r="M270" s="22">
        <v>8.3800000000000008</v>
      </c>
      <c r="N270" s="15">
        <f t="shared" si="67"/>
        <v>2.0871121718377084</v>
      </c>
      <c r="O270" s="22"/>
      <c r="P270" s="22"/>
      <c r="Q270" s="22"/>
      <c r="R270" s="22"/>
      <c r="S270" s="22"/>
    </row>
    <row r="271" spans="8:19" x14ac:dyDescent="0.15">
      <c r="H271" s="15">
        <v>13</v>
      </c>
      <c r="I271" s="15">
        <v>14</v>
      </c>
      <c r="J271" s="15">
        <f t="shared" si="69"/>
        <v>6</v>
      </c>
      <c r="K271" s="15">
        <f t="shared" si="68"/>
        <v>7</v>
      </c>
      <c r="L271" s="15">
        <v>-20.7</v>
      </c>
      <c r="M271" s="22">
        <v>8.17</v>
      </c>
      <c r="N271" s="15">
        <f t="shared" si="67"/>
        <v>2.533659730722154</v>
      </c>
      <c r="O271" s="22"/>
      <c r="P271" s="22"/>
      <c r="Q271" s="22"/>
      <c r="R271" s="22"/>
      <c r="S271" s="22"/>
    </row>
    <row r="272" spans="8:19" x14ac:dyDescent="0.15">
      <c r="H272" s="15">
        <v>13</v>
      </c>
      <c r="I272" s="15">
        <v>14</v>
      </c>
      <c r="J272" s="15">
        <f t="shared" si="69"/>
        <v>7</v>
      </c>
      <c r="K272" s="15">
        <f t="shared" si="68"/>
        <v>8</v>
      </c>
      <c r="L272" s="15">
        <v>-28.98</v>
      </c>
      <c r="M272" s="22">
        <v>8.6</v>
      </c>
      <c r="N272" s="15">
        <f t="shared" si="67"/>
        <v>3.3697674418604655</v>
      </c>
      <c r="O272" s="22"/>
      <c r="P272" s="22"/>
      <c r="Q272" s="22"/>
      <c r="R272" s="22"/>
      <c r="S272" s="22"/>
    </row>
    <row r="273" spans="8:19" x14ac:dyDescent="0.15">
      <c r="H273" s="15">
        <v>13</v>
      </c>
      <c r="I273" s="15">
        <v>14</v>
      </c>
      <c r="J273" s="15">
        <f t="shared" si="69"/>
        <v>8</v>
      </c>
      <c r="K273" s="15">
        <f t="shared" si="68"/>
        <v>9</v>
      </c>
      <c r="L273" s="15">
        <v>-42.18</v>
      </c>
      <c r="M273" s="22">
        <v>8.49</v>
      </c>
      <c r="N273" s="15">
        <f t="shared" si="67"/>
        <v>4.968197879858657</v>
      </c>
      <c r="O273" s="22"/>
      <c r="P273" s="22"/>
      <c r="Q273" s="22"/>
      <c r="R273" s="22"/>
      <c r="S273" s="22"/>
    </row>
    <row r="274" spans="8:19" x14ac:dyDescent="0.15">
      <c r="H274" s="15">
        <v>13</v>
      </c>
      <c r="I274" s="15">
        <v>14</v>
      </c>
      <c r="J274" s="15">
        <f t="shared" si="69"/>
        <v>9</v>
      </c>
      <c r="K274" s="15">
        <f t="shared" si="68"/>
        <v>10</v>
      </c>
      <c r="L274" s="15">
        <v>-65.48</v>
      </c>
      <c r="M274" s="22">
        <v>8.31</v>
      </c>
      <c r="N274" s="15">
        <f t="shared" si="67"/>
        <v>7.8796630565583632</v>
      </c>
      <c r="O274" s="22"/>
      <c r="P274" s="22"/>
      <c r="Q274" s="22"/>
      <c r="R274" s="22"/>
      <c r="S274" s="22"/>
    </row>
    <row r="275" spans="8:19" x14ac:dyDescent="0.15">
      <c r="H275" s="15">
        <v>13</v>
      </c>
      <c r="I275" s="15">
        <v>14</v>
      </c>
      <c r="J275" s="15">
        <f t="shared" si="69"/>
        <v>10</v>
      </c>
      <c r="K275" s="15">
        <f t="shared" si="68"/>
        <v>11</v>
      </c>
      <c r="L275" s="15">
        <v>-142.72</v>
      </c>
      <c r="M275" s="22">
        <v>7.59</v>
      </c>
      <c r="N275" s="15">
        <f t="shared" si="67"/>
        <v>18.803689064558629</v>
      </c>
      <c r="O275" s="22"/>
      <c r="P275" s="22"/>
      <c r="Q275" s="22"/>
      <c r="R275" s="22"/>
      <c r="S275" s="22"/>
    </row>
    <row r="276" spans="8:19" x14ac:dyDescent="0.15">
      <c r="H276" s="15">
        <v>13</v>
      </c>
      <c r="I276" s="15">
        <v>14</v>
      </c>
      <c r="J276" s="15">
        <f t="shared" si="69"/>
        <v>11</v>
      </c>
      <c r="K276" s="15">
        <f t="shared" si="68"/>
        <v>12</v>
      </c>
      <c r="L276" s="15">
        <v>-728.78</v>
      </c>
      <c r="M276" s="22">
        <v>8.6</v>
      </c>
      <c r="N276" s="15">
        <f t="shared" si="67"/>
        <v>84.741860465116275</v>
      </c>
      <c r="O276" s="22"/>
      <c r="P276" s="22"/>
      <c r="Q276" s="22"/>
      <c r="R276" s="22"/>
      <c r="S276" s="22"/>
    </row>
    <row r="277" spans="8:19" x14ac:dyDescent="0.15">
      <c r="H277" s="15">
        <v>14</v>
      </c>
      <c r="I277" s="15">
        <v>15</v>
      </c>
      <c r="J277" s="15">
        <f>I277+1</f>
        <v>16</v>
      </c>
      <c r="K277" s="15">
        <f>J277+1</f>
        <v>17</v>
      </c>
      <c r="L277" s="15">
        <v>-582.45000000000005</v>
      </c>
      <c r="M277" s="22">
        <v>8.31</v>
      </c>
      <c r="N277" s="15">
        <f t="shared" si="67"/>
        <v>70.090252707581229</v>
      </c>
      <c r="O277" s="22"/>
      <c r="P277" s="22"/>
      <c r="Q277" s="22"/>
      <c r="R277" s="22"/>
      <c r="S277" s="22"/>
    </row>
    <row r="278" spans="8:19" x14ac:dyDescent="0.15">
      <c r="H278" s="15">
        <v>14</v>
      </c>
      <c r="I278" s="15">
        <v>15</v>
      </c>
      <c r="J278" s="15">
        <f t="shared" ref="J278:K284" si="70">J277+1</f>
        <v>17</v>
      </c>
      <c r="K278" s="15">
        <f t="shared" si="70"/>
        <v>18</v>
      </c>
      <c r="L278" s="15">
        <v>-159.1</v>
      </c>
      <c r="M278" s="22">
        <v>8.3800000000000008</v>
      </c>
      <c r="N278" s="15">
        <f t="shared" si="67"/>
        <v>18.985680190930786</v>
      </c>
      <c r="O278" s="22"/>
      <c r="P278" s="22"/>
      <c r="Q278" s="22"/>
      <c r="R278" s="22"/>
      <c r="S278" s="22"/>
    </row>
    <row r="279" spans="8:19" x14ac:dyDescent="0.15">
      <c r="H279" s="15">
        <v>14</v>
      </c>
      <c r="I279" s="15">
        <v>15</v>
      </c>
      <c r="J279" s="15">
        <f t="shared" si="70"/>
        <v>18</v>
      </c>
      <c r="K279" s="15">
        <f t="shared" si="70"/>
        <v>19</v>
      </c>
      <c r="L279" s="15">
        <v>-66.19</v>
      </c>
      <c r="M279" s="22">
        <v>8.6</v>
      </c>
      <c r="N279" s="15">
        <f t="shared" si="67"/>
        <v>7.6965116279069772</v>
      </c>
      <c r="O279" s="22"/>
      <c r="P279" s="22"/>
      <c r="Q279" s="22"/>
      <c r="R279" s="22"/>
      <c r="S279" s="22"/>
    </row>
    <row r="280" spans="8:19" x14ac:dyDescent="0.15">
      <c r="H280" s="15">
        <v>14</v>
      </c>
      <c r="I280" s="15">
        <v>15</v>
      </c>
      <c r="J280" s="15">
        <f t="shared" si="70"/>
        <v>19</v>
      </c>
      <c r="K280" s="15">
        <f t="shared" si="70"/>
        <v>20</v>
      </c>
      <c r="L280" s="15">
        <v>-33.229999999999997</v>
      </c>
      <c r="M280" s="22">
        <v>8.64</v>
      </c>
      <c r="N280" s="15">
        <f t="shared" si="67"/>
        <v>3.846064814814814</v>
      </c>
      <c r="O280" s="22"/>
      <c r="P280" s="22"/>
      <c r="Q280" s="22"/>
      <c r="R280" s="22"/>
      <c r="S280" s="22"/>
    </row>
    <row r="281" spans="8:19" x14ac:dyDescent="0.15">
      <c r="H281" s="15">
        <v>14</v>
      </c>
      <c r="I281" s="15">
        <v>15</v>
      </c>
      <c r="J281" s="15">
        <f t="shared" si="70"/>
        <v>20</v>
      </c>
      <c r="K281" s="15">
        <f t="shared" si="70"/>
        <v>21</v>
      </c>
      <c r="L281" s="15">
        <v>-20.63</v>
      </c>
      <c r="M281" s="22">
        <v>8.5399999999999991</v>
      </c>
      <c r="N281" s="15">
        <f t="shared" si="67"/>
        <v>2.4156908665105385</v>
      </c>
      <c r="O281" s="22"/>
      <c r="P281" s="22"/>
      <c r="Q281" s="22"/>
      <c r="R281" s="22"/>
      <c r="S281" s="22"/>
    </row>
    <row r="282" spans="8:19" x14ac:dyDescent="0.15">
      <c r="H282" s="15">
        <v>14</v>
      </c>
      <c r="I282" s="15">
        <v>15</v>
      </c>
      <c r="J282" s="15">
        <f t="shared" si="70"/>
        <v>21</v>
      </c>
      <c r="K282" s="15">
        <f t="shared" si="70"/>
        <v>22</v>
      </c>
      <c r="L282" s="15">
        <v>-16.43</v>
      </c>
      <c r="M282" s="22">
        <v>8.65</v>
      </c>
      <c r="N282" s="15">
        <f t="shared" si="67"/>
        <v>1.899421965317919</v>
      </c>
      <c r="O282" s="22"/>
      <c r="P282" s="22"/>
      <c r="Q282" s="22"/>
      <c r="R282" s="22"/>
      <c r="S282" s="22"/>
    </row>
    <row r="283" spans="8:19" x14ac:dyDescent="0.15">
      <c r="H283" s="15">
        <v>14</v>
      </c>
      <c r="I283" s="15">
        <v>15</v>
      </c>
      <c r="J283" s="15">
        <f t="shared" si="70"/>
        <v>22</v>
      </c>
      <c r="K283" s="15">
        <f t="shared" si="70"/>
        <v>23</v>
      </c>
      <c r="L283" s="15">
        <v>-13.6</v>
      </c>
      <c r="M283" s="22">
        <v>8.15</v>
      </c>
      <c r="N283" s="15">
        <f t="shared" si="67"/>
        <v>1.6687116564417177</v>
      </c>
      <c r="O283" s="22"/>
      <c r="P283" s="22"/>
      <c r="Q283" s="22"/>
      <c r="R283" s="22"/>
      <c r="S283" s="22"/>
    </row>
    <row r="284" spans="8:19" x14ac:dyDescent="0.15">
      <c r="H284" s="15">
        <v>14</v>
      </c>
      <c r="I284" s="15">
        <v>15</v>
      </c>
      <c r="J284" s="15">
        <f t="shared" si="70"/>
        <v>23</v>
      </c>
      <c r="K284" s="15">
        <f t="shared" si="70"/>
        <v>24</v>
      </c>
      <c r="L284" s="15">
        <v>-11.96</v>
      </c>
      <c r="M284" s="22">
        <v>8.61</v>
      </c>
      <c r="N284" s="15">
        <f t="shared" si="67"/>
        <v>1.3890824622531941</v>
      </c>
      <c r="O284" s="22"/>
      <c r="P284" s="22"/>
      <c r="Q284" s="22"/>
      <c r="R284" s="22"/>
      <c r="S284" s="22"/>
    </row>
    <row r="285" spans="8:19" x14ac:dyDescent="0.15">
      <c r="H285" s="15">
        <v>14</v>
      </c>
      <c r="I285" s="15">
        <v>15</v>
      </c>
      <c r="J285" s="15">
        <f>J284+1</f>
        <v>24</v>
      </c>
      <c r="K285" s="15">
        <v>1</v>
      </c>
      <c r="L285" s="15">
        <v>-11.54</v>
      </c>
      <c r="M285" s="22">
        <v>7.8</v>
      </c>
      <c r="N285" s="15">
        <f t="shared" si="67"/>
        <v>1.4794871794871793</v>
      </c>
      <c r="O285" s="22"/>
      <c r="P285" s="22"/>
      <c r="Q285" s="22"/>
      <c r="R285" s="22"/>
      <c r="S285" s="22"/>
    </row>
    <row r="286" spans="8:19" x14ac:dyDescent="0.15">
      <c r="H286" s="15">
        <v>14</v>
      </c>
      <c r="I286" s="15">
        <v>15</v>
      </c>
      <c r="J286" s="15">
        <v>1</v>
      </c>
      <c r="K286" s="15">
        <f t="shared" ref="K286:K297" si="71">K285+1</f>
        <v>2</v>
      </c>
      <c r="L286" s="15">
        <v>-12.71</v>
      </c>
      <c r="M286" s="22">
        <v>7.81</v>
      </c>
      <c r="N286" s="15">
        <f t="shared" si="67"/>
        <v>1.6274007682458389</v>
      </c>
      <c r="O286" s="22"/>
      <c r="P286" s="22"/>
      <c r="Q286" s="22"/>
      <c r="R286" s="22"/>
      <c r="S286" s="22"/>
    </row>
    <row r="287" spans="8:19" x14ac:dyDescent="0.15">
      <c r="H287" s="15">
        <v>14</v>
      </c>
      <c r="I287" s="15">
        <v>15</v>
      </c>
      <c r="J287" s="15">
        <f t="shared" ref="J287:J297" si="72">J286+1</f>
        <v>2</v>
      </c>
      <c r="K287" s="15">
        <f t="shared" si="71"/>
        <v>3</v>
      </c>
      <c r="L287" s="15">
        <v>-12.16</v>
      </c>
      <c r="M287" s="22">
        <v>7.82</v>
      </c>
      <c r="N287" s="15">
        <f t="shared" si="67"/>
        <v>1.5549872122762147</v>
      </c>
      <c r="O287" s="22"/>
      <c r="P287" s="22"/>
      <c r="Q287" s="22"/>
      <c r="R287" s="22"/>
      <c r="S287" s="22"/>
    </row>
    <row r="288" spans="8:19" x14ac:dyDescent="0.15">
      <c r="H288" s="15">
        <v>14</v>
      </c>
      <c r="I288" s="15">
        <v>15</v>
      </c>
      <c r="J288" s="15">
        <f t="shared" si="72"/>
        <v>3</v>
      </c>
      <c r="K288" s="15">
        <f t="shared" si="71"/>
        <v>4</v>
      </c>
      <c r="L288" s="15">
        <v>-13.7</v>
      </c>
      <c r="M288" s="22">
        <v>7.78</v>
      </c>
      <c r="N288" s="15">
        <f t="shared" si="67"/>
        <v>1.760925449871465</v>
      </c>
      <c r="O288" s="22"/>
      <c r="P288" s="22"/>
      <c r="Q288" s="22"/>
      <c r="R288" s="22"/>
      <c r="S288" s="22"/>
    </row>
    <row r="289" spans="8:19" x14ac:dyDescent="0.15">
      <c r="H289" s="15">
        <v>14</v>
      </c>
      <c r="I289" s="15">
        <v>15</v>
      </c>
      <c r="J289" s="15">
        <f t="shared" si="72"/>
        <v>4</v>
      </c>
      <c r="K289" s="15">
        <f t="shared" si="71"/>
        <v>5</v>
      </c>
      <c r="L289" s="15">
        <v>-14.51</v>
      </c>
      <c r="M289" s="22">
        <v>7.88</v>
      </c>
      <c r="N289" s="15">
        <f t="shared" si="67"/>
        <v>1.8413705583756346</v>
      </c>
      <c r="O289" s="22"/>
      <c r="P289" s="22"/>
      <c r="Q289" s="22"/>
      <c r="R289" s="22"/>
      <c r="S289" s="22"/>
    </row>
    <row r="290" spans="8:19" x14ac:dyDescent="0.15">
      <c r="H290" s="15">
        <v>14</v>
      </c>
      <c r="I290" s="15">
        <v>15</v>
      </c>
      <c r="J290" s="15">
        <f t="shared" si="72"/>
        <v>5</v>
      </c>
      <c r="K290" s="15">
        <f t="shared" si="71"/>
        <v>6</v>
      </c>
      <c r="L290" s="15">
        <v>-14.96</v>
      </c>
      <c r="M290" s="22">
        <v>8.2200000000000006</v>
      </c>
      <c r="N290" s="15">
        <f t="shared" si="67"/>
        <v>1.8199513381995134</v>
      </c>
      <c r="O290" s="22"/>
      <c r="P290" s="22"/>
      <c r="Q290" s="22"/>
      <c r="R290" s="22"/>
      <c r="S290" s="22"/>
    </row>
    <row r="291" spans="8:19" x14ac:dyDescent="0.15">
      <c r="H291" s="15">
        <v>14</v>
      </c>
      <c r="I291" s="15">
        <v>15</v>
      </c>
      <c r="J291" s="15">
        <f t="shared" si="72"/>
        <v>6</v>
      </c>
      <c r="K291" s="15">
        <f t="shared" si="71"/>
        <v>7</v>
      </c>
      <c r="L291" s="15">
        <v>-17.63</v>
      </c>
      <c r="M291" s="22">
        <v>8.27</v>
      </c>
      <c r="N291" s="15">
        <f t="shared" si="67"/>
        <v>2.1318016928657797</v>
      </c>
      <c r="O291" s="22"/>
      <c r="P291" s="22"/>
      <c r="Q291" s="22"/>
      <c r="R291" s="22"/>
      <c r="S291" s="22"/>
    </row>
    <row r="292" spans="8:19" x14ac:dyDescent="0.15">
      <c r="H292" s="15">
        <v>14</v>
      </c>
      <c r="I292" s="15">
        <v>15</v>
      </c>
      <c r="J292" s="15">
        <f t="shared" si="72"/>
        <v>7</v>
      </c>
      <c r="K292" s="15">
        <f t="shared" si="71"/>
        <v>8</v>
      </c>
      <c r="L292" s="15">
        <v>-20.13</v>
      </c>
      <c r="M292" s="22">
        <v>8.1199999999999992</v>
      </c>
      <c r="N292" s="15">
        <f t="shared" si="67"/>
        <v>2.479064039408867</v>
      </c>
      <c r="O292" s="22"/>
      <c r="P292" s="22"/>
      <c r="Q292" s="22"/>
      <c r="R292" s="22"/>
      <c r="S292" s="22"/>
    </row>
    <row r="293" spans="8:19" x14ac:dyDescent="0.15">
      <c r="H293" s="15">
        <v>14</v>
      </c>
      <c r="I293" s="15">
        <v>15</v>
      </c>
      <c r="J293" s="15">
        <f t="shared" si="72"/>
        <v>8</v>
      </c>
      <c r="K293" s="15">
        <f t="shared" si="71"/>
        <v>9</v>
      </c>
      <c r="L293" s="15">
        <v>-25.78</v>
      </c>
      <c r="M293" s="22">
        <v>8.32</v>
      </c>
      <c r="N293" s="15">
        <f t="shared" si="67"/>
        <v>3.0985576923076925</v>
      </c>
      <c r="O293" s="22"/>
      <c r="P293" s="22"/>
      <c r="Q293" s="22"/>
      <c r="R293" s="22"/>
      <c r="S293" s="22"/>
    </row>
    <row r="294" spans="8:19" x14ac:dyDescent="0.15">
      <c r="H294" s="15">
        <v>14</v>
      </c>
      <c r="I294" s="15">
        <v>15</v>
      </c>
      <c r="J294" s="15">
        <f t="shared" si="72"/>
        <v>9</v>
      </c>
      <c r="K294" s="15">
        <f t="shared" si="71"/>
        <v>10</v>
      </c>
      <c r="L294" s="15">
        <v>-34.15</v>
      </c>
      <c r="M294" s="22">
        <v>8.4499999999999993</v>
      </c>
      <c r="N294" s="15">
        <f t="shared" si="67"/>
        <v>4.0414201183431953</v>
      </c>
      <c r="O294" s="22"/>
      <c r="P294" s="22"/>
      <c r="Q294" s="22"/>
      <c r="R294" s="22"/>
      <c r="S294" s="22"/>
    </row>
    <row r="295" spans="8:19" x14ac:dyDescent="0.15">
      <c r="H295" s="15">
        <v>14</v>
      </c>
      <c r="I295" s="15">
        <v>15</v>
      </c>
      <c r="J295" s="15">
        <f t="shared" si="72"/>
        <v>10</v>
      </c>
      <c r="K295" s="15">
        <f t="shared" si="71"/>
        <v>11</v>
      </c>
      <c r="L295" s="15">
        <v>-60.76</v>
      </c>
      <c r="M295" s="22">
        <v>8.42</v>
      </c>
      <c r="N295" s="15">
        <f t="shared" si="67"/>
        <v>7.2161520190023749</v>
      </c>
      <c r="O295" s="22"/>
      <c r="P295" s="22"/>
      <c r="Q295" s="22"/>
      <c r="R295" s="22"/>
      <c r="S295" s="22"/>
    </row>
    <row r="296" spans="8:19" x14ac:dyDescent="0.15">
      <c r="H296" s="15">
        <v>14</v>
      </c>
      <c r="I296" s="15">
        <v>15</v>
      </c>
      <c r="J296" s="15">
        <f t="shared" si="72"/>
        <v>11</v>
      </c>
      <c r="K296" s="15">
        <f t="shared" si="71"/>
        <v>12</v>
      </c>
      <c r="L296" s="15">
        <v>-171.38</v>
      </c>
      <c r="M296" s="22">
        <v>8.42</v>
      </c>
      <c r="N296" s="15">
        <f t="shared" si="67"/>
        <v>20.35391923990499</v>
      </c>
      <c r="O296" s="22"/>
      <c r="P296" s="22"/>
      <c r="Q296" s="22"/>
      <c r="R296" s="22"/>
      <c r="S296" s="22"/>
    </row>
    <row r="297" spans="8:19" x14ac:dyDescent="0.15">
      <c r="H297" s="15">
        <v>14</v>
      </c>
      <c r="I297" s="15">
        <v>15</v>
      </c>
      <c r="J297" s="15">
        <f t="shared" si="72"/>
        <v>12</v>
      </c>
      <c r="K297" s="15">
        <f t="shared" si="71"/>
        <v>13</v>
      </c>
      <c r="L297" s="15">
        <v>-636.35</v>
      </c>
      <c r="M297" s="22">
        <v>8.26</v>
      </c>
      <c r="N297" s="15">
        <f t="shared" si="67"/>
        <v>77.039951573849891</v>
      </c>
      <c r="O297" s="22"/>
      <c r="P297" s="22"/>
      <c r="Q297" s="22"/>
      <c r="R297" s="22"/>
      <c r="S297" s="22"/>
    </row>
    <row r="298" spans="8:19" x14ac:dyDescent="0.15">
      <c r="H298" s="15">
        <v>15</v>
      </c>
      <c r="I298" s="15">
        <v>16</v>
      </c>
      <c r="J298" s="15">
        <f>I298+1</f>
        <v>17</v>
      </c>
      <c r="K298" s="15">
        <f>J298+1</f>
        <v>18</v>
      </c>
      <c r="L298" s="15">
        <v>-725.32</v>
      </c>
      <c r="M298" s="22">
        <v>9.33</v>
      </c>
      <c r="N298" s="15">
        <f t="shared" si="67"/>
        <v>77.740621650589503</v>
      </c>
      <c r="O298" s="22"/>
      <c r="P298" s="22"/>
      <c r="Q298" s="22"/>
      <c r="R298" s="22"/>
      <c r="S298" s="22"/>
    </row>
    <row r="299" spans="8:19" x14ac:dyDescent="0.15">
      <c r="H299" s="15">
        <v>15</v>
      </c>
      <c r="I299" s="15">
        <v>16</v>
      </c>
      <c r="J299" s="15">
        <f t="shared" ref="J299:K304" si="73">J298+1</f>
        <v>18</v>
      </c>
      <c r="K299" s="15">
        <f t="shared" si="73"/>
        <v>19</v>
      </c>
      <c r="L299" s="15">
        <v>-184.04</v>
      </c>
      <c r="M299" s="22">
        <v>9.35</v>
      </c>
      <c r="N299" s="15">
        <f t="shared" si="67"/>
        <v>19.683422459893048</v>
      </c>
      <c r="O299" s="22"/>
      <c r="P299" s="22"/>
      <c r="Q299" s="22"/>
      <c r="R299" s="22"/>
      <c r="S299" s="22"/>
    </row>
    <row r="300" spans="8:19" x14ac:dyDescent="0.15">
      <c r="H300" s="15">
        <v>15</v>
      </c>
      <c r="I300" s="15">
        <v>16</v>
      </c>
      <c r="J300" s="15">
        <f t="shared" si="73"/>
        <v>19</v>
      </c>
      <c r="K300" s="15">
        <f t="shared" si="73"/>
        <v>20</v>
      </c>
      <c r="L300" s="15">
        <v>-69.930000000000007</v>
      </c>
      <c r="M300" s="22">
        <v>9.2200000000000006</v>
      </c>
      <c r="N300" s="15">
        <f t="shared" si="67"/>
        <v>7.5845986984815621</v>
      </c>
      <c r="O300" s="22"/>
      <c r="P300" s="22"/>
      <c r="Q300" s="22"/>
      <c r="R300" s="22"/>
      <c r="S300" s="22"/>
    </row>
    <row r="301" spans="8:19" x14ac:dyDescent="0.15">
      <c r="H301" s="15">
        <v>15</v>
      </c>
      <c r="I301" s="15">
        <v>16</v>
      </c>
      <c r="J301" s="15">
        <f t="shared" si="73"/>
        <v>20</v>
      </c>
      <c r="K301" s="15">
        <f t="shared" si="73"/>
        <v>21</v>
      </c>
      <c r="L301" s="15">
        <v>-36.96</v>
      </c>
      <c r="M301" s="22">
        <v>9.18</v>
      </c>
      <c r="N301" s="15">
        <f t="shared" si="67"/>
        <v>4.0261437908496731</v>
      </c>
      <c r="O301" s="22"/>
      <c r="P301" s="22"/>
      <c r="Q301" s="22"/>
      <c r="R301" s="22"/>
      <c r="S301" s="22"/>
    </row>
    <row r="302" spans="8:19" x14ac:dyDescent="0.15">
      <c r="H302" s="15">
        <v>15</v>
      </c>
      <c r="I302" s="15">
        <v>16</v>
      </c>
      <c r="J302" s="15">
        <f t="shared" si="73"/>
        <v>21</v>
      </c>
      <c r="K302" s="15">
        <f t="shared" si="73"/>
        <v>22</v>
      </c>
      <c r="L302" s="15">
        <v>-25.65</v>
      </c>
      <c r="M302" s="22">
        <v>9.49</v>
      </c>
      <c r="N302" s="15">
        <f t="shared" si="67"/>
        <v>2.7028451001053737</v>
      </c>
      <c r="O302" s="22"/>
      <c r="P302" s="22"/>
      <c r="Q302" s="22"/>
      <c r="R302" s="22"/>
      <c r="S302" s="22"/>
    </row>
    <row r="303" spans="8:19" x14ac:dyDescent="0.15">
      <c r="H303" s="15">
        <v>15</v>
      </c>
      <c r="I303" s="15">
        <v>16</v>
      </c>
      <c r="J303" s="15">
        <f t="shared" si="73"/>
        <v>22</v>
      </c>
      <c r="K303" s="15">
        <f t="shared" si="73"/>
        <v>23</v>
      </c>
      <c r="L303" s="15">
        <v>-19.149999999999999</v>
      </c>
      <c r="M303" s="22">
        <v>9.41</v>
      </c>
      <c r="N303" s="15">
        <f t="shared" si="67"/>
        <v>2.0350690754516472</v>
      </c>
      <c r="O303" s="22"/>
      <c r="P303" s="22"/>
      <c r="Q303" s="22"/>
      <c r="R303" s="22"/>
      <c r="S303" s="22"/>
    </row>
    <row r="304" spans="8:19" x14ac:dyDescent="0.15">
      <c r="H304" s="15">
        <v>15</v>
      </c>
      <c r="I304" s="15">
        <v>16</v>
      </c>
      <c r="J304" s="15">
        <f t="shared" si="73"/>
        <v>23</v>
      </c>
      <c r="K304" s="15">
        <f t="shared" si="73"/>
        <v>24</v>
      </c>
      <c r="L304" s="15">
        <v>-14.7</v>
      </c>
      <c r="M304" s="22">
        <v>9.36</v>
      </c>
      <c r="N304" s="15">
        <f t="shared" si="67"/>
        <v>1.5705128205128205</v>
      </c>
      <c r="O304" s="22"/>
      <c r="P304" s="22"/>
      <c r="Q304" s="22"/>
      <c r="R304" s="22"/>
      <c r="S304" s="22"/>
    </row>
    <row r="305" spans="8:19" x14ac:dyDescent="0.15">
      <c r="H305" s="15">
        <v>15</v>
      </c>
      <c r="I305" s="15">
        <v>16</v>
      </c>
      <c r="J305" s="15">
        <f>J304+1</f>
        <v>24</v>
      </c>
      <c r="K305" s="15">
        <v>1</v>
      </c>
      <c r="L305" s="15">
        <v>-11.89</v>
      </c>
      <c r="M305" s="22">
        <v>8.17</v>
      </c>
      <c r="N305" s="15">
        <f t="shared" si="67"/>
        <v>1.4553243574051409</v>
      </c>
      <c r="O305" s="22"/>
      <c r="P305" s="22"/>
      <c r="Q305" s="22"/>
      <c r="R305" s="22"/>
      <c r="S305" s="22"/>
    </row>
    <row r="306" spans="8:19" x14ac:dyDescent="0.15">
      <c r="H306" s="15">
        <v>15</v>
      </c>
      <c r="I306" s="15">
        <v>16</v>
      </c>
      <c r="J306" s="15">
        <v>1</v>
      </c>
      <c r="K306" s="15">
        <f t="shared" ref="K306:K318" si="74">K305+1</f>
        <v>2</v>
      </c>
      <c r="L306" s="15">
        <v>-12.39</v>
      </c>
      <c r="M306" s="22">
        <v>8.15</v>
      </c>
      <c r="N306" s="15">
        <f t="shared" si="67"/>
        <v>1.5202453987730062</v>
      </c>
      <c r="O306" s="22"/>
      <c r="P306" s="22"/>
      <c r="Q306" s="22"/>
      <c r="R306" s="22"/>
      <c r="S306" s="22"/>
    </row>
    <row r="307" spans="8:19" x14ac:dyDescent="0.15">
      <c r="H307" s="15">
        <v>15</v>
      </c>
      <c r="I307" s="15">
        <v>16</v>
      </c>
      <c r="J307" s="15">
        <f t="shared" ref="J307:J318" si="75">J306+1</f>
        <v>2</v>
      </c>
      <c r="K307" s="15">
        <f t="shared" si="74"/>
        <v>3</v>
      </c>
      <c r="L307" s="15">
        <v>-11.2</v>
      </c>
      <c r="M307" s="22">
        <v>8.11</v>
      </c>
      <c r="N307" s="15">
        <f t="shared" si="67"/>
        <v>1.3810110974106042</v>
      </c>
      <c r="O307" s="22"/>
      <c r="P307" s="22"/>
      <c r="Q307" s="22"/>
      <c r="R307" s="22"/>
      <c r="S307" s="22"/>
    </row>
    <row r="308" spans="8:19" x14ac:dyDescent="0.15">
      <c r="H308" s="15">
        <v>15</v>
      </c>
      <c r="I308" s="15">
        <v>16</v>
      </c>
      <c r="J308" s="15">
        <f t="shared" si="75"/>
        <v>3</v>
      </c>
      <c r="K308" s="15">
        <f t="shared" si="74"/>
        <v>4</v>
      </c>
      <c r="L308" s="15">
        <v>-11.88</v>
      </c>
      <c r="M308" s="22">
        <v>8.11</v>
      </c>
      <c r="N308" s="15">
        <f t="shared" si="67"/>
        <v>1.4648581997533912</v>
      </c>
      <c r="O308" s="22"/>
      <c r="P308" s="22"/>
      <c r="Q308" s="22"/>
      <c r="R308" s="22"/>
      <c r="S308" s="22"/>
    </row>
    <row r="309" spans="8:19" x14ac:dyDescent="0.15">
      <c r="H309" s="15">
        <v>15</v>
      </c>
      <c r="I309" s="15">
        <v>16</v>
      </c>
      <c r="J309" s="15">
        <f t="shared" si="75"/>
        <v>4</v>
      </c>
      <c r="K309" s="15">
        <f t="shared" si="74"/>
        <v>5</v>
      </c>
      <c r="L309" s="15">
        <v>-12.97</v>
      </c>
      <c r="M309" s="22">
        <v>8.09</v>
      </c>
      <c r="N309" s="15">
        <f t="shared" si="67"/>
        <v>1.6032138442521633</v>
      </c>
      <c r="O309" s="22"/>
      <c r="P309" s="22"/>
      <c r="Q309" s="22"/>
      <c r="R309" s="22"/>
      <c r="S309" s="22"/>
    </row>
    <row r="310" spans="8:19" x14ac:dyDescent="0.15">
      <c r="H310" s="15">
        <v>15</v>
      </c>
      <c r="I310" s="15">
        <v>16</v>
      </c>
      <c r="J310" s="15">
        <f t="shared" si="75"/>
        <v>5</v>
      </c>
      <c r="K310" s="15">
        <f t="shared" si="74"/>
        <v>6</v>
      </c>
      <c r="L310" s="15">
        <v>-13.25</v>
      </c>
      <c r="M310" s="22">
        <v>8.11</v>
      </c>
      <c r="N310" s="15">
        <f t="shared" si="67"/>
        <v>1.6337854500616524</v>
      </c>
      <c r="O310" s="22"/>
      <c r="P310" s="22"/>
      <c r="Q310" s="22"/>
      <c r="R310" s="22"/>
      <c r="S310" s="22"/>
    </row>
    <row r="311" spans="8:19" x14ac:dyDescent="0.15">
      <c r="H311" s="15">
        <v>15</v>
      </c>
      <c r="I311" s="15">
        <v>16</v>
      </c>
      <c r="J311" s="15">
        <f t="shared" si="75"/>
        <v>6</v>
      </c>
      <c r="K311" s="15">
        <f t="shared" si="74"/>
        <v>7</v>
      </c>
      <c r="L311" s="15">
        <v>-13.73</v>
      </c>
      <c r="M311" s="22">
        <v>7.88</v>
      </c>
      <c r="N311" s="15">
        <f t="shared" si="67"/>
        <v>1.7423857868020305</v>
      </c>
      <c r="O311" s="22"/>
      <c r="P311" s="22"/>
      <c r="Q311" s="22"/>
      <c r="R311" s="22"/>
      <c r="S311" s="22"/>
    </row>
    <row r="312" spans="8:19" x14ac:dyDescent="0.15">
      <c r="H312" s="15">
        <v>15</v>
      </c>
      <c r="I312" s="15">
        <v>16</v>
      </c>
      <c r="J312" s="15">
        <f t="shared" si="75"/>
        <v>7</v>
      </c>
      <c r="K312" s="15">
        <f t="shared" si="74"/>
        <v>8</v>
      </c>
      <c r="L312" s="15">
        <v>-16.27</v>
      </c>
      <c r="M312" s="22">
        <v>7.75</v>
      </c>
      <c r="N312" s="15">
        <f t="shared" si="67"/>
        <v>2.0993548387096772</v>
      </c>
      <c r="O312" s="22"/>
      <c r="P312" s="22"/>
      <c r="Q312" s="22"/>
      <c r="R312" s="22"/>
      <c r="S312" s="22"/>
    </row>
    <row r="313" spans="8:19" x14ac:dyDescent="0.15">
      <c r="H313" s="15">
        <v>15</v>
      </c>
      <c r="I313" s="15">
        <v>16</v>
      </c>
      <c r="J313" s="15">
        <f t="shared" si="75"/>
        <v>8</v>
      </c>
      <c r="K313" s="15">
        <f t="shared" si="74"/>
        <v>9</v>
      </c>
      <c r="L313" s="15">
        <v>-18.97</v>
      </c>
      <c r="M313" s="22">
        <v>7.49</v>
      </c>
      <c r="N313" s="15">
        <f t="shared" si="67"/>
        <v>2.5327102803738315</v>
      </c>
      <c r="O313" s="22"/>
      <c r="P313" s="22"/>
      <c r="Q313" s="22"/>
      <c r="R313" s="22"/>
      <c r="S313" s="22"/>
    </row>
    <row r="314" spans="8:19" x14ac:dyDescent="0.15">
      <c r="H314" s="15">
        <v>15</v>
      </c>
      <c r="I314" s="15">
        <v>16</v>
      </c>
      <c r="J314" s="15">
        <f t="shared" si="75"/>
        <v>9</v>
      </c>
      <c r="K314" s="15">
        <f t="shared" si="74"/>
        <v>10</v>
      </c>
      <c r="L314" s="15">
        <v>-27.88</v>
      </c>
      <c r="M314" s="22">
        <v>9.5299999999999994</v>
      </c>
      <c r="N314" s="15">
        <f t="shared" si="67"/>
        <v>2.925498426023085</v>
      </c>
      <c r="O314" s="22"/>
      <c r="P314" s="22"/>
      <c r="Q314" s="22"/>
      <c r="R314" s="22"/>
      <c r="S314" s="22"/>
    </row>
    <row r="315" spans="8:19" x14ac:dyDescent="0.15">
      <c r="H315" s="15">
        <v>15</v>
      </c>
      <c r="I315" s="15">
        <v>16</v>
      </c>
      <c r="J315" s="15">
        <f t="shared" si="75"/>
        <v>10</v>
      </c>
      <c r="K315" s="15">
        <f t="shared" si="74"/>
        <v>11</v>
      </c>
      <c r="L315" s="15">
        <v>-41.69</v>
      </c>
      <c r="M315" s="22">
        <v>9.68</v>
      </c>
      <c r="N315" s="15">
        <f t="shared" si="67"/>
        <v>4.3068181818181817</v>
      </c>
      <c r="O315" s="22"/>
      <c r="P315" s="22"/>
      <c r="Q315" s="22"/>
      <c r="R315" s="22"/>
      <c r="S315" s="22"/>
    </row>
    <row r="316" spans="8:19" x14ac:dyDescent="0.15">
      <c r="H316" s="15">
        <v>15</v>
      </c>
      <c r="I316" s="15">
        <v>16</v>
      </c>
      <c r="J316" s="15">
        <f t="shared" si="75"/>
        <v>11</v>
      </c>
      <c r="K316" s="15">
        <f t="shared" si="74"/>
        <v>12</v>
      </c>
      <c r="L316" s="15">
        <v>-73.38</v>
      </c>
      <c r="M316" s="22">
        <v>7.72</v>
      </c>
      <c r="N316" s="15">
        <f t="shared" si="67"/>
        <v>9.5051813471502591</v>
      </c>
      <c r="O316" s="22"/>
      <c r="P316" s="22"/>
      <c r="Q316" s="22"/>
      <c r="R316" s="22"/>
      <c r="S316" s="22"/>
    </row>
    <row r="317" spans="8:19" x14ac:dyDescent="0.15">
      <c r="H317" s="15">
        <v>15</v>
      </c>
      <c r="I317" s="15">
        <v>16</v>
      </c>
      <c r="J317" s="15">
        <f t="shared" si="75"/>
        <v>12</v>
      </c>
      <c r="K317" s="15">
        <f t="shared" si="74"/>
        <v>13</v>
      </c>
      <c r="L317" s="15">
        <v>-165.93</v>
      </c>
      <c r="M317" s="22">
        <v>7.5</v>
      </c>
      <c r="N317" s="15">
        <f t="shared" si="67"/>
        <v>22.124000000000002</v>
      </c>
      <c r="O317" s="22"/>
      <c r="P317" s="22"/>
      <c r="Q317" s="22"/>
      <c r="R317" s="22"/>
      <c r="S317" s="22"/>
    </row>
    <row r="318" spans="8:19" x14ac:dyDescent="0.15">
      <c r="H318" s="15">
        <v>15</v>
      </c>
      <c r="I318" s="15">
        <v>16</v>
      </c>
      <c r="J318" s="15">
        <f t="shared" si="75"/>
        <v>13</v>
      </c>
      <c r="K318" s="15">
        <f t="shared" si="74"/>
        <v>14</v>
      </c>
      <c r="L318" s="15">
        <v>-680.15</v>
      </c>
      <c r="M318" s="22">
        <v>7.55</v>
      </c>
      <c r="N318" s="15">
        <f t="shared" si="67"/>
        <v>90.086092715231786</v>
      </c>
      <c r="O318" s="22"/>
      <c r="P318" s="22"/>
      <c r="Q318" s="22"/>
      <c r="R318" s="22"/>
      <c r="S318" s="22"/>
    </row>
    <row r="319" spans="8:19" x14ac:dyDescent="0.15">
      <c r="H319" s="15">
        <v>16</v>
      </c>
      <c r="I319" s="15">
        <v>17</v>
      </c>
      <c r="J319" s="15">
        <f>I319+1</f>
        <v>18</v>
      </c>
      <c r="K319" s="15">
        <f>J319+1</f>
        <v>19</v>
      </c>
      <c r="L319" s="15">
        <v>-596.96</v>
      </c>
      <c r="M319" s="22">
        <v>8.26</v>
      </c>
      <c r="N319" s="15">
        <f t="shared" si="67"/>
        <v>72.271186440677965</v>
      </c>
      <c r="O319" s="22"/>
      <c r="P319" s="22"/>
      <c r="Q319" s="22"/>
      <c r="R319" s="22"/>
      <c r="S319" s="22"/>
    </row>
    <row r="320" spans="8:19" x14ac:dyDescent="0.15">
      <c r="H320" s="15">
        <v>16</v>
      </c>
      <c r="I320" s="15">
        <v>17</v>
      </c>
      <c r="J320" s="15">
        <f t="shared" ref="J320:K324" si="76">J319+1</f>
        <v>19</v>
      </c>
      <c r="K320" s="15">
        <f t="shared" si="76"/>
        <v>20</v>
      </c>
      <c r="L320" s="15">
        <v>-150.11000000000001</v>
      </c>
      <c r="M320" s="22">
        <v>8.43</v>
      </c>
      <c r="N320" s="15">
        <f t="shared" si="67"/>
        <v>17.806642941874262</v>
      </c>
      <c r="O320" s="22"/>
      <c r="P320" s="22"/>
      <c r="Q320" s="22"/>
      <c r="R320" s="22"/>
      <c r="S320" s="22"/>
    </row>
    <row r="321" spans="8:19" x14ac:dyDescent="0.15">
      <c r="H321" s="15">
        <v>16</v>
      </c>
      <c r="I321" s="15">
        <v>17</v>
      </c>
      <c r="J321" s="15">
        <f t="shared" si="76"/>
        <v>20</v>
      </c>
      <c r="K321" s="15">
        <f t="shared" si="76"/>
        <v>21</v>
      </c>
      <c r="L321" s="15">
        <v>-60.9</v>
      </c>
      <c r="M321" s="22">
        <v>8.49</v>
      </c>
      <c r="N321" s="15">
        <f t="shared" si="67"/>
        <v>7.1731448763250878</v>
      </c>
      <c r="O321" s="22"/>
      <c r="P321" s="22"/>
      <c r="Q321" s="22"/>
      <c r="R321" s="22"/>
      <c r="S321" s="22"/>
    </row>
    <row r="322" spans="8:19" x14ac:dyDescent="0.15">
      <c r="H322" s="15">
        <v>16</v>
      </c>
      <c r="I322" s="15">
        <v>17</v>
      </c>
      <c r="J322" s="15">
        <f t="shared" si="76"/>
        <v>21</v>
      </c>
      <c r="K322" s="15">
        <f t="shared" si="76"/>
        <v>22</v>
      </c>
      <c r="L322" s="15">
        <v>-34.51</v>
      </c>
      <c r="M322" s="22">
        <v>8.5</v>
      </c>
      <c r="N322" s="15">
        <f t="shared" si="67"/>
        <v>4.0599999999999996</v>
      </c>
      <c r="O322" s="22"/>
      <c r="P322" s="22"/>
      <c r="Q322" s="22"/>
      <c r="R322" s="22"/>
      <c r="S322" s="22"/>
    </row>
    <row r="323" spans="8:19" x14ac:dyDescent="0.15">
      <c r="H323" s="15">
        <v>16</v>
      </c>
      <c r="I323" s="15">
        <v>17</v>
      </c>
      <c r="J323" s="15">
        <f t="shared" si="76"/>
        <v>22</v>
      </c>
      <c r="K323" s="15">
        <f t="shared" si="76"/>
        <v>23</v>
      </c>
      <c r="L323" s="15">
        <v>-22.5</v>
      </c>
      <c r="M323" s="22">
        <v>8.48</v>
      </c>
      <c r="N323" s="15">
        <f t="shared" si="67"/>
        <v>2.6533018867924527</v>
      </c>
      <c r="O323" s="22"/>
      <c r="P323" s="22"/>
      <c r="Q323" s="22"/>
      <c r="R323" s="22"/>
      <c r="S323" s="22"/>
    </row>
    <row r="324" spans="8:19" x14ac:dyDescent="0.15">
      <c r="H324" s="15">
        <v>16</v>
      </c>
      <c r="I324" s="15">
        <v>17</v>
      </c>
      <c r="J324" s="15">
        <f t="shared" si="76"/>
        <v>23</v>
      </c>
      <c r="K324" s="15">
        <f t="shared" si="76"/>
        <v>24</v>
      </c>
      <c r="L324" s="15">
        <v>-16.02</v>
      </c>
      <c r="M324" s="22">
        <v>8.4</v>
      </c>
      <c r="N324" s="15">
        <f t="shared" si="67"/>
        <v>1.907142857142857</v>
      </c>
      <c r="O324" s="22"/>
      <c r="P324" s="22"/>
      <c r="Q324" s="22"/>
      <c r="R324" s="22"/>
      <c r="S324" s="22"/>
    </row>
    <row r="325" spans="8:19" x14ac:dyDescent="0.15">
      <c r="H325" s="15">
        <v>16</v>
      </c>
      <c r="I325" s="15">
        <v>17</v>
      </c>
      <c r="J325" s="15">
        <f>J324+1</f>
        <v>24</v>
      </c>
      <c r="K325" s="15">
        <v>1</v>
      </c>
      <c r="L325" s="15">
        <v>-11.79</v>
      </c>
      <c r="M325" s="22">
        <v>7.53</v>
      </c>
      <c r="N325" s="15">
        <f t="shared" ref="N325:N388" si="77">-L325/M325</f>
        <v>1.5657370517928286</v>
      </c>
      <c r="O325" s="22"/>
      <c r="P325" s="22"/>
      <c r="Q325" s="22"/>
      <c r="R325" s="22"/>
      <c r="S325" s="22"/>
    </row>
    <row r="326" spans="8:19" x14ac:dyDescent="0.15">
      <c r="H326" s="15">
        <v>16</v>
      </c>
      <c r="I326" s="15">
        <v>17</v>
      </c>
      <c r="J326" s="15">
        <v>1</v>
      </c>
      <c r="K326" s="15">
        <f t="shared" ref="K326:K339" si="78">K325+1</f>
        <v>2</v>
      </c>
      <c r="L326" s="15">
        <v>-12.72</v>
      </c>
      <c r="M326" s="22">
        <v>7.47</v>
      </c>
      <c r="N326" s="15">
        <f t="shared" si="77"/>
        <v>1.7028112449799198</v>
      </c>
      <c r="O326" s="22"/>
      <c r="P326" s="22"/>
      <c r="Q326" s="22"/>
      <c r="R326" s="22"/>
      <c r="S326" s="22"/>
    </row>
    <row r="327" spans="8:19" x14ac:dyDescent="0.15">
      <c r="H327" s="15">
        <v>16</v>
      </c>
      <c r="I327" s="15">
        <v>17</v>
      </c>
      <c r="J327" s="15">
        <f t="shared" ref="J327:J339" si="79">J326+1</f>
        <v>2</v>
      </c>
      <c r="K327" s="15">
        <f t="shared" si="78"/>
        <v>3</v>
      </c>
      <c r="L327" s="15">
        <v>-10.83</v>
      </c>
      <c r="M327" s="22">
        <v>7.48</v>
      </c>
      <c r="N327" s="15">
        <f t="shared" si="77"/>
        <v>1.4478609625668448</v>
      </c>
      <c r="O327" s="22"/>
      <c r="P327" s="22"/>
      <c r="Q327" s="22"/>
      <c r="R327" s="22"/>
      <c r="S327" s="22"/>
    </row>
    <row r="328" spans="8:19" x14ac:dyDescent="0.15">
      <c r="H328" s="15">
        <v>16</v>
      </c>
      <c r="I328" s="15">
        <v>17</v>
      </c>
      <c r="J328" s="15">
        <f t="shared" si="79"/>
        <v>3</v>
      </c>
      <c r="K328" s="15">
        <f t="shared" si="78"/>
        <v>4</v>
      </c>
      <c r="L328" s="15">
        <v>-10.66</v>
      </c>
      <c r="M328" s="22">
        <v>7.56</v>
      </c>
      <c r="N328" s="15">
        <f t="shared" si="77"/>
        <v>1.4100529100529102</v>
      </c>
      <c r="O328" s="22"/>
      <c r="P328" s="22"/>
      <c r="Q328" s="22"/>
      <c r="R328" s="22"/>
      <c r="S328" s="22"/>
    </row>
    <row r="329" spans="8:19" x14ac:dyDescent="0.15">
      <c r="H329" s="15">
        <v>16</v>
      </c>
      <c r="I329" s="15">
        <v>17</v>
      </c>
      <c r="J329" s="15">
        <f t="shared" si="79"/>
        <v>4</v>
      </c>
      <c r="K329" s="15">
        <f t="shared" si="78"/>
        <v>5</v>
      </c>
      <c r="L329" s="15">
        <v>-11.83</v>
      </c>
      <c r="M329" s="22">
        <v>7.36</v>
      </c>
      <c r="N329" s="15">
        <f t="shared" si="77"/>
        <v>1.607336956521739</v>
      </c>
      <c r="O329" s="22"/>
      <c r="P329" s="22"/>
      <c r="Q329" s="22"/>
      <c r="R329" s="22"/>
      <c r="S329" s="22"/>
    </row>
    <row r="330" spans="8:19" x14ac:dyDescent="0.15">
      <c r="H330" s="15">
        <v>16</v>
      </c>
      <c r="I330" s="15">
        <v>17</v>
      </c>
      <c r="J330" s="15">
        <f t="shared" si="79"/>
        <v>5</v>
      </c>
      <c r="K330" s="15">
        <f t="shared" si="78"/>
        <v>6</v>
      </c>
      <c r="L330" s="15">
        <v>-11.68</v>
      </c>
      <c r="M330" s="22">
        <v>7.53</v>
      </c>
      <c r="N330" s="15">
        <f t="shared" si="77"/>
        <v>1.5511288180610889</v>
      </c>
      <c r="O330" s="22"/>
      <c r="P330" s="22"/>
      <c r="Q330" s="22"/>
      <c r="R330" s="22"/>
      <c r="S330" s="22"/>
    </row>
    <row r="331" spans="8:19" x14ac:dyDescent="0.15">
      <c r="H331" s="15">
        <v>16</v>
      </c>
      <c r="I331" s="15">
        <v>17</v>
      </c>
      <c r="J331" s="15">
        <f t="shared" si="79"/>
        <v>6</v>
      </c>
      <c r="K331" s="15">
        <f t="shared" si="78"/>
        <v>7</v>
      </c>
      <c r="L331" s="15">
        <v>-11.87</v>
      </c>
      <c r="M331" s="22">
        <v>7.33</v>
      </c>
      <c r="N331" s="15">
        <f t="shared" si="77"/>
        <v>1.6193724420190996</v>
      </c>
      <c r="O331" s="22"/>
      <c r="P331" s="22"/>
      <c r="Q331" s="22"/>
      <c r="R331" s="22"/>
      <c r="S331" s="22"/>
    </row>
    <row r="332" spans="8:19" x14ac:dyDescent="0.15">
      <c r="H332" s="15">
        <v>16</v>
      </c>
      <c r="I332" s="15">
        <v>17</v>
      </c>
      <c r="J332" s="15">
        <f t="shared" si="79"/>
        <v>7</v>
      </c>
      <c r="K332" s="15">
        <f t="shared" si="78"/>
        <v>8</v>
      </c>
      <c r="L332" s="15">
        <v>-13.4</v>
      </c>
      <c r="M332" s="22">
        <v>7.06</v>
      </c>
      <c r="N332" s="15">
        <f t="shared" si="77"/>
        <v>1.898016997167139</v>
      </c>
      <c r="O332" s="22"/>
      <c r="P332" s="22"/>
      <c r="Q332" s="22"/>
      <c r="R332" s="22"/>
      <c r="S332" s="22"/>
    </row>
    <row r="333" spans="8:19" x14ac:dyDescent="0.15">
      <c r="H333" s="15">
        <v>16</v>
      </c>
      <c r="I333" s="15">
        <v>17</v>
      </c>
      <c r="J333" s="15">
        <f t="shared" si="79"/>
        <v>8</v>
      </c>
      <c r="K333" s="15">
        <f t="shared" si="78"/>
        <v>9</v>
      </c>
      <c r="L333" s="15">
        <v>-14.03</v>
      </c>
      <c r="M333" s="22">
        <v>7.23</v>
      </c>
      <c r="N333" s="15">
        <f t="shared" si="77"/>
        <v>1.9405255878284922</v>
      </c>
      <c r="O333" s="22"/>
      <c r="P333" s="22"/>
      <c r="Q333" s="22"/>
      <c r="R333" s="22"/>
      <c r="S333" s="22"/>
    </row>
    <row r="334" spans="8:19" x14ac:dyDescent="0.15">
      <c r="H334" s="15">
        <v>16</v>
      </c>
      <c r="I334" s="15">
        <v>17</v>
      </c>
      <c r="J334" s="15">
        <f t="shared" si="79"/>
        <v>9</v>
      </c>
      <c r="K334" s="15">
        <f t="shared" si="78"/>
        <v>10</v>
      </c>
      <c r="L334" s="15">
        <v>-16.16</v>
      </c>
      <c r="M334" s="22">
        <v>7.5</v>
      </c>
      <c r="N334" s="15">
        <f t="shared" si="77"/>
        <v>2.1546666666666665</v>
      </c>
      <c r="O334" s="22"/>
      <c r="P334" s="22"/>
      <c r="Q334" s="22"/>
      <c r="R334" s="22"/>
      <c r="S334" s="22"/>
    </row>
    <row r="335" spans="8:19" x14ac:dyDescent="0.15">
      <c r="H335" s="15">
        <v>16</v>
      </c>
      <c r="I335" s="15">
        <v>17</v>
      </c>
      <c r="J335" s="15">
        <f t="shared" si="79"/>
        <v>10</v>
      </c>
      <c r="K335" s="15">
        <f t="shared" si="78"/>
        <v>11</v>
      </c>
      <c r="L335" s="22">
        <v>-20.64</v>
      </c>
      <c r="M335" s="22">
        <v>7.44</v>
      </c>
      <c r="N335" s="15">
        <f t="shared" si="77"/>
        <v>2.7741935483870965</v>
      </c>
      <c r="O335" s="22"/>
      <c r="P335" s="22"/>
      <c r="Q335" s="22"/>
      <c r="R335" s="22"/>
      <c r="S335" s="22"/>
    </row>
    <row r="336" spans="8:19" x14ac:dyDescent="0.15">
      <c r="H336" s="15">
        <v>16</v>
      </c>
      <c r="I336" s="15">
        <v>17</v>
      </c>
      <c r="J336" s="15">
        <f t="shared" si="79"/>
        <v>11</v>
      </c>
      <c r="K336" s="15">
        <f t="shared" si="78"/>
        <v>12</v>
      </c>
      <c r="L336" s="15">
        <v>-35.659999999999997</v>
      </c>
      <c r="M336" s="22">
        <v>7.38</v>
      </c>
      <c r="N336" s="15">
        <f t="shared" si="77"/>
        <v>4.8319783197831976</v>
      </c>
      <c r="O336" s="22"/>
      <c r="P336" s="22"/>
      <c r="Q336" s="22"/>
      <c r="R336" s="22"/>
      <c r="S336" s="22"/>
    </row>
    <row r="337" spans="8:19" x14ac:dyDescent="0.15">
      <c r="H337" s="15">
        <v>16</v>
      </c>
      <c r="I337" s="15">
        <v>17</v>
      </c>
      <c r="J337" s="15">
        <f t="shared" si="79"/>
        <v>12</v>
      </c>
      <c r="K337" s="15">
        <f t="shared" si="78"/>
        <v>13</v>
      </c>
      <c r="L337" s="15">
        <v>-60.5</v>
      </c>
      <c r="M337" s="22">
        <v>7.28</v>
      </c>
      <c r="N337" s="15">
        <f t="shared" si="77"/>
        <v>8.3104395604395602</v>
      </c>
      <c r="O337" s="22"/>
      <c r="P337" s="22"/>
      <c r="Q337" s="22"/>
      <c r="R337" s="22"/>
      <c r="S337" s="22"/>
    </row>
    <row r="338" spans="8:19" x14ac:dyDescent="0.15">
      <c r="H338" s="15">
        <v>16</v>
      </c>
      <c r="I338" s="15">
        <v>17</v>
      </c>
      <c r="J338" s="15">
        <f t="shared" si="79"/>
        <v>13</v>
      </c>
      <c r="K338" s="15">
        <f t="shared" si="78"/>
        <v>14</v>
      </c>
      <c r="L338" s="15">
        <v>-148.34</v>
      </c>
      <c r="M338" s="22">
        <v>7.02</v>
      </c>
      <c r="N338" s="15">
        <f t="shared" si="77"/>
        <v>21.131054131054132</v>
      </c>
      <c r="O338" s="22"/>
      <c r="P338" s="22"/>
      <c r="Q338" s="22"/>
      <c r="R338" s="22"/>
      <c r="S338" s="22"/>
    </row>
    <row r="339" spans="8:19" x14ac:dyDescent="0.15">
      <c r="H339" s="15">
        <v>16</v>
      </c>
      <c r="I339" s="15">
        <v>17</v>
      </c>
      <c r="J339" s="15">
        <f t="shared" si="79"/>
        <v>14</v>
      </c>
      <c r="K339" s="15">
        <f t="shared" si="78"/>
        <v>15</v>
      </c>
      <c r="L339" s="15">
        <v>-547.34</v>
      </c>
      <c r="M339" s="22">
        <v>7.3</v>
      </c>
      <c r="N339" s="15">
        <f t="shared" si="77"/>
        <v>74.978082191780828</v>
      </c>
      <c r="O339" s="22"/>
      <c r="P339" s="22"/>
      <c r="Q339" s="22"/>
      <c r="R339" s="22"/>
      <c r="S339" s="22"/>
    </row>
    <row r="340" spans="8:19" x14ac:dyDescent="0.15">
      <c r="H340" s="15">
        <v>17</v>
      </c>
      <c r="I340" s="15">
        <v>18</v>
      </c>
      <c r="J340" s="15">
        <f>I340+1</f>
        <v>19</v>
      </c>
      <c r="K340" s="15">
        <f>J340+1</f>
        <v>20</v>
      </c>
      <c r="L340" s="15">
        <v>-446.05</v>
      </c>
      <c r="M340" s="22">
        <v>6.51</v>
      </c>
      <c r="N340" s="15">
        <f t="shared" si="77"/>
        <v>68.517665130568361</v>
      </c>
      <c r="O340" s="22"/>
      <c r="P340" s="22"/>
      <c r="Q340" s="22"/>
      <c r="R340" s="22"/>
      <c r="S340" s="22"/>
    </row>
    <row r="341" spans="8:19" x14ac:dyDescent="0.15">
      <c r="H341" s="15">
        <v>17</v>
      </c>
      <c r="I341" s="15">
        <v>18</v>
      </c>
      <c r="J341" s="15">
        <f t="shared" ref="J341:K344" si="80">J340+1</f>
        <v>20</v>
      </c>
      <c r="K341" s="15">
        <f t="shared" si="80"/>
        <v>21</v>
      </c>
      <c r="L341" s="15">
        <v>-121.82</v>
      </c>
      <c r="M341" s="22">
        <v>6.72</v>
      </c>
      <c r="N341" s="15">
        <f t="shared" si="77"/>
        <v>18.12797619047619</v>
      </c>
      <c r="O341" s="22"/>
      <c r="P341" s="22"/>
      <c r="Q341" s="22"/>
      <c r="R341" s="22"/>
      <c r="S341" s="22"/>
    </row>
    <row r="342" spans="8:19" x14ac:dyDescent="0.15">
      <c r="H342" s="15">
        <v>17</v>
      </c>
      <c r="I342" s="15">
        <v>18</v>
      </c>
      <c r="J342" s="15">
        <f t="shared" si="80"/>
        <v>21</v>
      </c>
      <c r="K342" s="15">
        <f t="shared" si="80"/>
        <v>22</v>
      </c>
      <c r="L342" s="15">
        <v>-54.76</v>
      </c>
      <c r="M342" s="22">
        <v>6.87</v>
      </c>
      <c r="N342" s="15">
        <f t="shared" si="77"/>
        <v>7.970887918486171</v>
      </c>
      <c r="O342" s="22"/>
      <c r="P342" s="22"/>
      <c r="Q342" s="22"/>
      <c r="R342" s="22"/>
      <c r="S342" s="22"/>
    </row>
    <row r="343" spans="8:19" x14ac:dyDescent="0.15">
      <c r="H343" s="15">
        <v>17</v>
      </c>
      <c r="I343" s="15">
        <v>18</v>
      </c>
      <c r="J343" s="15">
        <f t="shared" si="80"/>
        <v>22</v>
      </c>
      <c r="K343" s="15">
        <f t="shared" si="80"/>
        <v>23</v>
      </c>
      <c r="L343" s="15">
        <v>-29.41</v>
      </c>
      <c r="M343" s="22">
        <v>6.85</v>
      </c>
      <c r="N343" s="15">
        <f t="shared" si="77"/>
        <v>4.2934306569343068</v>
      </c>
      <c r="O343" s="22"/>
      <c r="P343" s="22"/>
      <c r="Q343" s="22"/>
      <c r="R343" s="22"/>
      <c r="S343" s="22"/>
    </row>
    <row r="344" spans="8:19" x14ac:dyDescent="0.15">
      <c r="H344" s="15">
        <v>17</v>
      </c>
      <c r="I344" s="15">
        <v>18</v>
      </c>
      <c r="J344" s="15">
        <f t="shared" si="80"/>
        <v>23</v>
      </c>
      <c r="K344" s="15">
        <f t="shared" si="80"/>
        <v>24</v>
      </c>
      <c r="L344" s="15">
        <v>-17.95</v>
      </c>
      <c r="M344" s="22">
        <v>6.95</v>
      </c>
      <c r="N344" s="15">
        <f t="shared" si="77"/>
        <v>2.5827338129496402</v>
      </c>
      <c r="O344" s="22"/>
      <c r="P344" s="22"/>
      <c r="Q344" s="22"/>
      <c r="R344" s="22"/>
      <c r="S344" s="22"/>
    </row>
    <row r="345" spans="8:19" x14ac:dyDescent="0.15">
      <c r="H345" s="15">
        <v>17</v>
      </c>
      <c r="I345" s="15">
        <v>18</v>
      </c>
      <c r="J345" s="15">
        <f>J344+1</f>
        <v>24</v>
      </c>
      <c r="K345" s="15">
        <v>1</v>
      </c>
      <c r="L345" s="15">
        <v>-9.93</v>
      </c>
      <c r="M345" s="22">
        <v>5.0999999999999996</v>
      </c>
      <c r="N345" s="15">
        <f t="shared" si="77"/>
        <v>1.947058823529412</v>
      </c>
      <c r="O345" s="22"/>
      <c r="P345" s="22"/>
      <c r="Q345" s="22"/>
      <c r="R345" s="22"/>
      <c r="S345" s="22"/>
    </row>
    <row r="346" spans="8:19" x14ac:dyDescent="0.15">
      <c r="H346" s="15">
        <v>17</v>
      </c>
      <c r="I346" s="15">
        <v>18</v>
      </c>
      <c r="J346" s="15">
        <v>1</v>
      </c>
      <c r="K346" s="15">
        <f t="shared" ref="K346:K360" si="81">K345+1</f>
        <v>2</v>
      </c>
      <c r="L346" s="15">
        <v>-10.8</v>
      </c>
      <c r="M346" s="22">
        <v>5.75</v>
      </c>
      <c r="N346" s="15">
        <f t="shared" si="77"/>
        <v>1.8782608695652174</v>
      </c>
      <c r="O346" s="22"/>
      <c r="P346" s="22"/>
      <c r="Q346" s="22"/>
      <c r="R346" s="22"/>
      <c r="S346" s="22"/>
    </row>
    <row r="347" spans="8:19" x14ac:dyDescent="0.15">
      <c r="H347" s="15">
        <v>17</v>
      </c>
      <c r="I347" s="15">
        <v>18</v>
      </c>
      <c r="J347" s="15">
        <f t="shared" ref="J347:J360" si="82">J346+1</f>
        <v>2</v>
      </c>
      <c r="K347" s="15">
        <f t="shared" si="81"/>
        <v>3</v>
      </c>
      <c r="L347" s="15">
        <v>-10.69</v>
      </c>
      <c r="M347" s="22">
        <v>6.77</v>
      </c>
      <c r="N347" s="15">
        <f t="shared" si="77"/>
        <v>1.5790251107828657</v>
      </c>
      <c r="O347" s="22"/>
      <c r="P347" s="22"/>
      <c r="Q347" s="22"/>
      <c r="R347" s="22"/>
      <c r="S347" s="22"/>
    </row>
    <row r="348" spans="8:19" x14ac:dyDescent="0.15">
      <c r="H348" s="15">
        <v>17</v>
      </c>
      <c r="I348" s="15">
        <v>18</v>
      </c>
      <c r="J348" s="15">
        <f t="shared" si="82"/>
        <v>3</v>
      </c>
      <c r="K348" s="15">
        <f t="shared" si="81"/>
        <v>4</v>
      </c>
      <c r="L348" s="15">
        <v>-9.58</v>
      </c>
      <c r="M348" s="22">
        <v>6.69</v>
      </c>
      <c r="N348" s="15">
        <f t="shared" si="77"/>
        <v>1.4319880418535127</v>
      </c>
      <c r="O348" s="22"/>
      <c r="P348" s="22"/>
      <c r="Q348" s="22"/>
      <c r="R348" s="22"/>
      <c r="S348" s="22"/>
    </row>
    <row r="349" spans="8:19" x14ac:dyDescent="0.15">
      <c r="H349" s="15">
        <v>17</v>
      </c>
      <c r="I349" s="15">
        <v>18</v>
      </c>
      <c r="J349" s="15">
        <f t="shared" si="82"/>
        <v>4</v>
      </c>
      <c r="K349" s="15">
        <f t="shared" si="81"/>
        <v>5</v>
      </c>
      <c r="L349" s="15">
        <v>-7.39</v>
      </c>
      <c r="M349" s="22">
        <v>5.72</v>
      </c>
      <c r="N349" s="15">
        <f t="shared" si="77"/>
        <v>1.2919580419580419</v>
      </c>
      <c r="O349" s="22"/>
      <c r="P349" s="22"/>
      <c r="Q349" s="22"/>
      <c r="R349" s="22"/>
      <c r="S349" s="22"/>
    </row>
    <row r="350" spans="8:19" x14ac:dyDescent="0.15">
      <c r="H350" s="15">
        <v>17</v>
      </c>
      <c r="I350" s="15">
        <v>18</v>
      </c>
      <c r="J350" s="15">
        <f t="shared" si="82"/>
        <v>5</v>
      </c>
      <c r="K350" s="15">
        <f t="shared" si="81"/>
        <v>6</v>
      </c>
      <c r="L350" s="15">
        <v>-6.83</v>
      </c>
      <c r="M350" s="22">
        <v>5.21</v>
      </c>
      <c r="N350" s="15">
        <f t="shared" si="77"/>
        <v>1.3109404990403071</v>
      </c>
      <c r="O350" s="22"/>
      <c r="P350" s="22"/>
      <c r="Q350" s="22"/>
      <c r="R350" s="22"/>
      <c r="S350" s="22"/>
    </row>
    <row r="351" spans="8:19" x14ac:dyDescent="0.15">
      <c r="H351" s="15">
        <v>17</v>
      </c>
      <c r="I351" s="15">
        <v>18</v>
      </c>
      <c r="J351" s="15">
        <f t="shared" si="82"/>
        <v>6</v>
      </c>
      <c r="K351" s="15">
        <f t="shared" si="81"/>
        <v>7</v>
      </c>
      <c r="L351" s="15">
        <v>-10.01</v>
      </c>
      <c r="M351" s="22">
        <v>6.78</v>
      </c>
      <c r="N351" s="15">
        <f t="shared" si="77"/>
        <v>1.4764011799410028</v>
      </c>
      <c r="O351" s="22"/>
      <c r="P351" s="22"/>
      <c r="Q351" s="22"/>
      <c r="R351" s="22"/>
      <c r="S351" s="22"/>
    </row>
    <row r="352" spans="8:19" x14ac:dyDescent="0.15">
      <c r="H352" s="15">
        <v>17</v>
      </c>
      <c r="I352" s="15">
        <v>18</v>
      </c>
      <c r="J352" s="15">
        <f t="shared" si="82"/>
        <v>7</v>
      </c>
      <c r="K352" s="15">
        <f t="shared" si="81"/>
        <v>8</v>
      </c>
      <c r="L352" s="15">
        <v>-11.43</v>
      </c>
      <c r="M352" s="22">
        <v>6.85</v>
      </c>
      <c r="N352" s="15">
        <f t="shared" si="77"/>
        <v>1.6686131386861314</v>
      </c>
      <c r="O352" s="22"/>
      <c r="P352" s="22"/>
      <c r="Q352" s="22"/>
      <c r="R352" s="22"/>
      <c r="S352" s="22"/>
    </row>
    <row r="353" spans="8:19" x14ac:dyDescent="0.15">
      <c r="H353" s="15">
        <v>17</v>
      </c>
      <c r="I353" s="15">
        <v>18</v>
      </c>
      <c r="J353" s="15">
        <f t="shared" si="82"/>
        <v>8</v>
      </c>
      <c r="K353" s="15">
        <f t="shared" si="81"/>
        <v>9</v>
      </c>
      <c r="L353" s="15">
        <v>-11.3</v>
      </c>
      <c r="M353" s="22">
        <v>6.76</v>
      </c>
      <c r="N353" s="15">
        <f t="shared" si="77"/>
        <v>1.6715976331360949</v>
      </c>
      <c r="O353" s="22"/>
      <c r="P353" s="22"/>
      <c r="Q353" s="22"/>
      <c r="R353" s="22"/>
      <c r="S353" s="22"/>
    </row>
    <row r="354" spans="8:19" x14ac:dyDescent="0.15">
      <c r="H354" s="15">
        <v>17</v>
      </c>
      <c r="I354" s="15">
        <v>18</v>
      </c>
      <c r="J354" s="15">
        <f t="shared" si="82"/>
        <v>9</v>
      </c>
      <c r="K354" s="15">
        <f t="shared" si="81"/>
        <v>10</v>
      </c>
      <c r="L354" s="22">
        <v>-11.73</v>
      </c>
      <c r="M354" s="22">
        <v>6.25</v>
      </c>
      <c r="N354" s="15">
        <f t="shared" si="77"/>
        <v>1.8768</v>
      </c>
      <c r="O354" s="22"/>
      <c r="P354" s="22"/>
      <c r="Q354" s="22"/>
      <c r="R354" s="22"/>
      <c r="S354" s="22"/>
    </row>
    <row r="355" spans="8:19" x14ac:dyDescent="0.15">
      <c r="H355" s="15">
        <v>17</v>
      </c>
      <c r="I355" s="15">
        <v>18</v>
      </c>
      <c r="J355" s="15">
        <f t="shared" si="82"/>
        <v>10</v>
      </c>
      <c r="K355" s="15">
        <f t="shared" si="81"/>
        <v>11</v>
      </c>
      <c r="L355" s="22">
        <v>-14.06</v>
      </c>
      <c r="M355" s="22">
        <v>6.29</v>
      </c>
      <c r="N355" s="15">
        <f t="shared" si="77"/>
        <v>2.2352941176470589</v>
      </c>
      <c r="O355" s="22"/>
      <c r="P355" s="22"/>
      <c r="Q355" s="22"/>
      <c r="R355" s="22"/>
      <c r="S355" s="22"/>
    </row>
    <row r="356" spans="8:19" x14ac:dyDescent="0.15">
      <c r="H356" s="15">
        <v>17</v>
      </c>
      <c r="I356" s="15">
        <v>18</v>
      </c>
      <c r="J356" s="15">
        <f t="shared" si="82"/>
        <v>11</v>
      </c>
      <c r="K356" s="15">
        <f t="shared" si="81"/>
        <v>12</v>
      </c>
      <c r="L356" s="15">
        <v>-20.97</v>
      </c>
      <c r="M356" s="22">
        <v>6.84</v>
      </c>
      <c r="N356" s="15">
        <f t="shared" si="77"/>
        <v>3.0657894736842106</v>
      </c>
      <c r="O356" s="22"/>
      <c r="P356" s="22"/>
      <c r="Q356" s="22"/>
      <c r="R356" s="22"/>
      <c r="S356" s="22"/>
    </row>
    <row r="357" spans="8:19" x14ac:dyDescent="0.15">
      <c r="H357" s="15">
        <v>17</v>
      </c>
      <c r="I357" s="15">
        <v>18</v>
      </c>
      <c r="J357" s="15">
        <f t="shared" si="82"/>
        <v>12</v>
      </c>
      <c r="K357" s="15">
        <f t="shared" si="81"/>
        <v>13</v>
      </c>
      <c r="L357" s="15">
        <v>-31.2</v>
      </c>
      <c r="M357" s="22">
        <v>6.73</v>
      </c>
      <c r="N357" s="15">
        <f t="shared" si="77"/>
        <v>4.6359583952451704</v>
      </c>
      <c r="O357" s="22"/>
      <c r="P357" s="22"/>
      <c r="Q357" s="22"/>
      <c r="R357" s="22"/>
      <c r="S357" s="22"/>
    </row>
    <row r="358" spans="8:19" x14ac:dyDescent="0.15">
      <c r="H358" s="15">
        <v>17</v>
      </c>
      <c r="I358" s="15">
        <v>18</v>
      </c>
      <c r="J358" s="15">
        <f t="shared" si="82"/>
        <v>13</v>
      </c>
      <c r="K358" s="15">
        <f t="shared" si="81"/>
        <v>14</v>
      </c>
      <c r="L358" s="15">
        <v>-58.86</v>
      </c>
      <c r="M358" s="22">
        <v>6.68</v>
      </c>
      <c r="N358" s="15">
        <f t="shared" si="77"/>
        <v>8.8113772455089823</v>
      </c>
      <c r="O358" s="22"/>
      <c r="P358" s="22"/>
      <c r="Q358" s="22"/>
      <c r="R358" s="22"/>
      <c r="S358" s="22"/>
    </row>
    <row r="359" spans="8:19" x14ac:dyDescent="0.15">
      <c r="H359" s="15">
        <v>17</v>
      </c>
      <c r="I359" s="15">
        <v>18</v>
      </c>
      <c r="J359" s="15">
        <f t="shared" si="82"/>
        <v>14</v>
      </c>
      <c r="K359" s="15">
        <f t="shared" si="81"/>
        <v>15</v>
      </c>
      <c r="L359" s="15">
        <v>-127.98</v>
      </c>
      <c r="M359" s="22">
        <v>6.69</v>
      </c>
      <c r="N359" s="15">
        <f t="shared" si="77"/>
        <v>19.130044843049326</v>
      </c>
      <c r="O359" s="22"/>
      <c r="P359" s="22"/>
      <c r="Q359" s="22"/>
      <c r="R359" s="22"/>
      <c r="S359" s="22"/>
    </row>
    <row r="360" spans="8:19" x14ac:dyDescent="0.15">
      <c r="H360" s="15">
        <v>17</v>
      </c>
      <c r="I360" s="15">
        <v>18</v>
      </c>
      <c r="J360" s="15">
        <f t="shared" si="82"/>
        <v>15</v>
      </c>
      <c r="K360" s="15">
        <f t="shared" si="81"/>
        <v>16</v>
      </c>
      <c r="L360" s="15">
        <v>-564.79999999999995</v>
      </c>
      <c r="M360" s="22">
        <v>6.69</v>
      </c>
      <c r="N360" s="15">
        <f t="shared" si="77"/>
        <v>84.424514200298944</v>
      </c>
      <c r="O360" s="22"/>
      <c r="P360" s="22"/>
      <c r="Q360" s="22"/>
      <c r="R360" s="22"/>
      <c r="S360" s="22"/>
    </row>
    <row r="361" spans="8:19" x14ac:dyDescent="0.15">
      <c r="H361" s="15">
        <v>18</v>
      </c>
      <c r="I361" s="15">
        <v>19</v>
      </c>
      <c r="J361" s="15">
        <f>I361+1</f>
        <v>20</v>
      </c>
      <c r="K361" s="15">
        <f>J361+1</f>
        <v>21</v>
      </c>
      <c r="L361" s="15">
        <v>-505.78</v>
      </c>
      <c r="M361" s="22">
        <v>6.65</v>
      </c>
      <c r="N361" s="15">
        <f t="shared" si="77"/>
        <v>76.05714285714285</v>
      </c>
      <c r="O361" s="22"/>
      <c r="P361" s="22"/>
      <c r="Q361" s="22"/>
      <c r="R361" s="22"/>
      <c r="S361" s="22"/>
    </row>
    <row r="362" spans="8:19" x14ac:dyDescent="0.15">
      <c r="H362" s="15">
        <v>18</v>
      </c>
      <c r="I362" s="15">
        <v>19</v>
      </c>
      <c r="J362" s="15">
        <f t="shared" ref="J362:K364" si="83">J361+1</f>
        <v>21</v>
      </c>
      <c r="K362" s="15">
        <f t="shared" si="83"/>
        <v>22</v>
      </c>
      <c r="L362" s="15">
        <v>-140.63999999999999</v>
      </c>
      <c r="M362" s="22">
        <v>6.73</v>
      </c>
      <c r="N362" s="15">
        <f t="shared" si="77"/>
        <v>20.897473997028229</v>
      </c>
      <c r="O362" s="22"/>
      <c r="P362" s="22"/>
      <c r="Q362" s="22"/>
      <c r="R362" s="22"/>
      <c r="S362" s="22"/>
    </row>
    <row r="363" spans="8:19" x14ac:dyDescent="0.15">
      <c r="H363" s="15">
        <v>18</v>
      </c>
      <c r="I363" s="15">
        <v>19</v>
      </c>
      <c r="J363" s="15">
        <f t="shared" si="83"/>
        <v>22</v>
      </c>
      <c r="K363" s="15">
        <f t="shared" si="83"/>
        <v>23</v>
      </c>
      <c r="L363" s="15">
        <v>-58.13</v>
      </c>
      <c r="M363" s="22">
        <v>6.62</v>
      </c>
      <c r="N363" s="15">
        <f t="shared" si="77"/>
        <v>8.7809667673716021</v>
      </c>
      <c r="O363" s="22"/>
      <c r="P363" s="22"/>
      <c r="Q363" s="22"/>
      <c r="R363" s="22"/>
      <c r="S363" s="22"/>
    </row>
    <row r="364" spans="8:19" x14ac:dyDescent="0.15">
      <c r="H364" s="15">
        <v>18</v>
      </c>
      <c r="I364" s="15">
        <v>19</v>
      </c>
      <c r="J364" s="15">
        <f t="shared" si="83"/>
        <v>23</v>
      </c>
      <c r="K364" s="15">
        <f t="shared" si="83"/>
        <v>24</v>
      </c>
      <c r="L364" s="15">
        <v>-28.32</v>
      </c>
      <c r="M364" s="22">
        <v>6.47</v>
      </c>
      <c r="N364" s="15">
        <f t="shared" si="77"/>
        <v>4.3771251931993822</v>
      </c>
      <c r="O364" s="22"/>
      <c r="P364" s="22"/>
      <c r="Q364" s="22"/>
      <c r="R364" s="22"/>
      <c r="S364" s="22"/>
    </row>
    <row r="365" spans="8:19" x14ac:dyDescent="0.15">
      <c r="H365" s="15">
        <v>18</v>
      </c>
      <c r="I365" s="15">
        <v>19</v>
      </c>
      <c r="J365" s="15">
        <f>J364+1</f>
        <v>24</v>
      </c>
      <c r="K365" s="15">
        <v>1</v>
      </c>
      <c r="L365" s="15">
        <v>-19.940000000000001</v>
      </c>
      <c r="M365" s="22">
        <v>6.82</v>
      </c>
      <c r="N365" s="15">
        <f t="shared" si="77"/>
        <v>2.9237536656891496</v>
      </c>
      <c r="O365" s="22"/>
      <c r="P365" s="22"/>
      <c r="Q365" s="22"/>
      <c r="R365" s="22"/>
      <c r="S365" s="22"/>
    </row>
    <row r="366" spans="8:19" x14ac:dyDescent="0.15">
      <c r="H366" s="15">
        <v>18</v>
      </c>
      <c r="I366" s="15">
        <v>19</v>
      </c>
      <c r="J366" s="15">
        <v>1</v>
      </c>
      <c r="K366" s="15">
        <f t="shared" ref="K366:K381" si="84">K365+1</f>
        <v>2</v>
      </c>
      <c r="L366" s="15">
        <v>-17.510000000000002</v>
      </c>
      <c r="M366" s="22">
        <v>6.99</v>
      </c>
      <c r="N366" s="15">
        <f t="shared" si="77"/>
        <v>2.5050071530758227</v>
      </c>
      <c r="O366" s="22"/>
      <c r="P366" s="22"/>
      <c r="Q366" s="22"/>
      <c r="R366" s="22"/>
      <c r="S366" s="22"/>
    </row>
    <row r="367" spans="8:19" x14ac:dyDescent="0.15">
      <c r="H367" s="15">
        <v>18</v>
      </c>
      <c r="I367" s="15">
        <v>19</v>
      </c>
      <c r="J367" s="15">
        <f t="shared" ref="J367:J381" si="85">J366+1</f>
        <v>2</v>
      </c>
      <c r="K367" s="15">
        <f t="shared" si="84"/>
        <v>3</v>
      </c>
      <c r="L367" s="15">
        <v>-13.77</v>
      </c>
      <c r="M367" s="22">
        <v>7.2</v>
      </c>
      <c r="N367" s="15">
        <f t="shared" si="77"/>
        <v>1.9124999999999999</v>
      </c>
      <c r="O367" s="22"/>
      <c r="P367" s="22"/>
      <c r="Q367" s="22"/>
      <c r="R367" s="22"/>
      <c r="S367" s="22"/>
    </row>
    <row r="368" spans="8:19" x14ac:dyDescent="0.15">
      <c r="H368" s="15">
        <v>18</v>
      </c>
      <c r="I368" s="15">
        <v>19</v>
      </c>
      <c r="J368" s="15">
        <f t="shared" si="85"/>
        <v>3</v>
      </c>
      <c r="K368" s="15">
        <f t="shared" si="84"/>
        <v>4</v>
      </c>
      <c r="L368" s="15">
        <v>-13.11</v>
      </c>
      <c r="M368" s="22">
        <v>7.44</v>
      </c>
      <c r="N368" s="15">
        <f t="shared" si="77"/>
        <v>1.7620967741935483</v>
      </c>
      <c r="O368" s="22"/>
      <c r="P368" s="22"/>
      <c r="Q368" s="22"/>
      <c r="R368" s="22"/>
      <c r="S368" s="22"/>
    </row>
    <row r="369" spans="8:19" x14ac:dyDescent="0.15">
      <c r="H369" s="15">
        <v>18</v>
      </c>
      <c r="I369" s="15">
        <v>19</v>
      </c>
      <c r="J369" s="15">
        <f t="shared" si="85"/>
        <v>4</v>
      </c>
      <c r="K369" s="15">
        <f t="shared" si="84"/>
        <v>5</v>
      </c>
      <c r="L369" s="15">
        <v>-12.57</v>
      </c>
      <c r="M369" s="22">
        <v>7.39</v>
      </c>
      <c r="N369" s="15">
        <f t="shared" si="77"/>
        <v>1.7009472259810556</v>
      </c>
      <c r="O369" s="22"/>
      <c r="P369" s="22"/>
      <c r="Q369" s="22"/>
      <c r="R369" s="22"/>
      <c r="S369" s="22"/>
    </row>
    <row r="370" spans="8:19" x14ac:dyDescent="0.15">
      <c r="H370" s="15">
        <v>18</v>
      </c>
      <c r="I370" s="15">
        <v>19</v>
      </c>
      <c r="J370" s="15">
        <f t="shared" si="85"/>
        <v>5</v>
      </c>
      <c r="K370" s="15">
        <f t="shared" si="84"/>
        <v>6</v>
      </c>
      <c r="L370" s="15">
        <v>-11.87</v>
      </c>
      <c r="M370" s="22">
        <v>7.27</v>
      </c>
      <c r="N370" s="15">
        <f t="shared" si="77"/>
        <v>1.6327372764786794</v>
      </c>
      <c r="O370" s="22"/>
      <c r="P370" s="22"/>
      <c r="Q370" s="22"/>
      <c r="R370" s="22"/>
      <c r="S370" s="22"/>
    </row>
    <row r="371" spans="8:19" x14ac:dyDescent="0.15">
      <c r="H371" s="15">
        <v>18</v>
      </c>
      <c r="I371" s="15">
        <v>19</v>
      </c>
      <c r="J371" s="15">
        <f t="shared" si="85"/>
        <v>6</v>
      </c>
      <c r="K371" s="15">
        <f t="shared" si="84"/>
        <v>7</v>
      </c>
      <c r="L371" s="15">
        <f>-12.53</f>
        <v>-12.53</v>
      </c>
      <c r="M371" s="22">
        <v>7.6</v>
      </c>
      <c r="N371" s="15">
        <f t="shared" si="77"/>
        <v>1.6486842105263158</v>
      </c>
      <c r="O371" s="22"/>
      <c r="P371" s="22"/>
      <c r="Q371" s="22"/>
      <c r="R371" s="22"/>
      <c r="S371" s="22"/>
    </row>
    <row r="372" spans="8:19" x14ac:dyDescent="0.15">
      <c r="H372" s="15">
        <v>18</v>
      </c>
      <c r="I372" s="15">
        <v>19</v>
      </c>
      <c r="J372" s="15">
        <f t="shared" si="85"/>
        <v>7</v>
      </c>
      <c r="K372" s="15">
        <f t="shared" si="84"/>
        <v>8</v>
      </c>
      <c r="L372" s="15">
        <v>-12.67</v>
      </c>
      <c r="M372" s="22">
        <v>6.73</v>
      </c>
      <c r="N372" s="15">
        <f t="shared" si="77"/>
        <v>1.8826151560178306</v>
      </c>
      <c r="O372" s="22"/>
      <c r="P372" s="22"/>
      <c r="Q372" s="22"/>
      <c r="R372" s="22"/>
      <c r="S372" s="22"/>
    </row>
    <row r="373" spans="8:19" x14ac:dyDescent="0.15">
      <c r="H373" s="15">
        <v>18</v>
      </c>
      <c r="I373" s="15">
        <v>19</v>
      </c>
      <c r="J373" s="15">
        <f t="shared" si="85"/>
        <v>8</v>
      </c>
      <c r="K373" s="15">
        <f t="shared" si="84"/>
        <v>9</v>
      </c>
      <c r="L373" s="15">
        <v>-11.76</v>
      </c>
      <c r="M373" s="22">
        <v>6.71</v>
      </c>
      <c r="N373" s="15">
        <f t="shared" si="77"/>
        <v>1.7526080476900148</v>
      </c>
      <c r="O373" s="22"/>
      <c r="P373" s="22"/>
      <c r="Q373" s="22"/>
      <c r="R373" s="22"/>
      <c r="S373" s="22"/>
    </row>
    <row r="374" spans="8:19" x14ac:dyDescent="0.15">
      <c r="H374" s="15">
        <v>18</v>
      </c>
      <c r="I374" s="15">
        <v>19</v>
      </c>
      <c r="J374" s="15">
        <f t="shared" si="85"/>
        <v>9</v>
      </c>
      <c r="K374" s="15">
        <f t="shared" si="84"/>
        <v>10</v>
      </c>
      <c r="L374" s="15">
        <v>-11.41</v>
      </c>
      <c r="M374" s="22">
        <v>6.57</v>
      </c>
      <c r="N374" s="15">
        <f t="shared" si="77"/>
        <v>1.7366818873668188</v>
      </c>
      <c r="O374" s="22"/>
      <c r="P374" s="22"/>
      <c r="Q374" s="22"/>
      <c r="R374" s="22"/>
      <c r="S374" s="22"/>
    </row>
    <row r="375" spans="8:19" x14ac:dyDescent="0.15">
      <c r="H375" s="15">
        <v>18</v>
      </c>
      <c r="I375" s="15">
        <v>19</v>
      </c>
      <c r="J375" s="15">
        <f t="shared" si="85"/>
        <v>10</v>
      </c>
      <c r="K375" s="15">
        <f t="shared" si="84"/>
        <v>11</v>
      </c>
      <c r="L375" s="15">
        <v>-12.7</v>
      </c>
      <c r="M375" s="22">
        <v>6.57</v>
      </c>
      <c r="N375" s="15">
        <f t="shared" si="77"/>
        <v>1.933028919330289</v>
      </c>
      <c r="O375" s="22"/>
      <c r="P375" s="22"/>
      <c r="Q375" s="22"/>
      <c r="R375" s="22"/>
      <c r="S375" s="22"/>
    </row>
    <row r="376" spans="8:19" x14ac:dyDescent="0.15">
      <c r="H376" s="15">
        <v>18</v>
      </c>
      <c r="I376" s="15">
        <v>19</v>
      </c>
      <c r="J376" s="15">
        <f t="shared" si="85"/>
        <v>11</v>
      </c>
      <c r="K376" s="15">
        <f t="shared" si="84"/>
        <v>12</v>
      </c>
      <c r="L376" s="15">
        <v>-16.34</v>
      </c>
      <c r="M376" s="22">
        <v>6.86</v>
      </c>
      <c r="N376" s="15">
        <f t="shared" si="77"/>
        <v>2.3819241982507289</v>
      </c>
      <c r="O376" s="22"/>
      <c r="P376" s="22"/>
      <c r="Q376" s="22"/>
      <c r="R376" s="22"/>
      <c r="S376" s="22"/>
    </row>
    <row r="377" spans="8:19" x14ac:dyDescent="0.15">
      <c r="H377" s="15">
        <v>18</v>
      </c>
      <c r="I377" s="15">
        <v>19</v>
      </c>
      <c r="J377" s="15">
        <f t="shared" si="85"/>
        <v>12</v>
      </c>
      <c r="K377" s="15">
        <f t="shared" si="84"/>
        <v>13</v>
      </c>
      <c r="L377" s="15">
        <v>-20.75</v>
      </c>
      <c r="M377" s="22">
        <v>6.76</v>
      </c>
      <c r="N377" s="15">
        <f t="shared" si="77"/>
        <v>3.0695266272189352</v>
      </c>
      <c r="O377" s="22"/>
      <c r="P377" s="22"/>
      <c r="Q377" s="22"/>
      <c r="R377" s="22"/>
      <c r="S377" s="22"/>
    </row>
    <row r="378" spans="8:19" x14ac:dyDescent="0.15">
      <c r="H378" s="15">
        <v>18</v>
      </c>
      <c r="I378" s="15">
        <v>19</v>
      </c>
      <c r="J378" s="15">
        <f t="shared" si="85"/>
        <v>13</v>
      </c>
      <c r="K378" s="15">
        <f t="shared" si="84"/>
        <v>14</v>
      </c>
      <c r="L378" s="15">
        <v>-33.83</v>
      </c>
      <c r="M378" s="22">
        <v>6.83</v>
      </c>
      <c r="N378" s="15">
        <f t="shared" si="77"/>
        <v>4.9531478770131772</v>
      </c>
      <c r="O378" s="22"/>
      <c r="P378" s="22"/>
      <c r="Q378" s="22"/>
      <c r="R378" s="22"/>
      <c r="S378" s="22"/>
    </row>
    <row r="379" spans="8:19" x14ac:dyDescent="0.15">
      <c r="H379" s="15">
        <v>18</v>
      </c>
      <c r="I379" s="15">
        <v>19</v>
      </c>
      <c r="J379" s="15">
        <f t="shared" si="85"/>
        <v>14</v>
      </c>
      <c r="K379" s="15">
        <f t="shared" si="84"/>
        <v>15</v>
      </c>
      <c r="L379" s="15">
        <v>-55.37</v>
      </c>
      <c r="M379" s="22">
        <v>7.71</v>
      </c>
      <c r="N379" s="15">
        <f t="shared" si="77"/>
        <v>7.1815823605706868</v>
      </c>
      <c r="O379" s="22"/>
      <c r="P379" s="22"/>
      <c r="Q379" s="22"/>
      <c r="R379" s="22"/>
      <c r="S379" s="22"/>
    </row>
    <row r="380" spans="8:19" x14ac:dyDescent="0.15">
      <c r="H380" s="15">
        <v>18</v>
      </c>
      <c r="I380" s="15">
        <v>19</v>
      </c>
      <c r="J380" s="15">
        <f t="shared" si="85"/>
        <v>15</v>
      </c>
      <c r="K380" s="15">
        <f t="shared" si="84"/>
        <v>16</v>
      </c>
      <c r="L380" s="15">
        <v>-144.56</v>
      </c>
      <c r="M380" s="22">
        <v>6.78</v>
      </c>
      <c r="N380" s="15">
        <f t="shared" si="77"/>
        <v>21.321533923303836</v>
      </c>
      <c r="O380" s="22"/>
      <c r="P380" s="22"/>
      <c r="Q380" s="22"/>
      <c r="R380" s="22"/>
      <c r="S380" s="22"/>
    </row>
    <row r="381" spans="8:19" x14ac:dyDescent="0.15">
      <c r="H381" s="15">
        <v>18</v>
      </c>
      <c r="I381" s="15">
        <v>19</v>
      </c>
      <c r="J381" s="15">
        <f t="shared" si="85"/>
        <v>16</v>
      </c>
      <c r="K381" s="15">
        <f t="shared" si="84"/>
        <v>17</v>
      </c>
      <c r="L381" s="15">
        <v>-534.16</v>
      </c>
      <c r="M381" s="22">
        <v>6.77</v>
      </c>
      <c r="N381" s="15">
        <f t="shared" si="77"/>
        <v>78.901033973412112</v>
      </c>
      <c r="O381" s="22"/>
      <c r="P381" s="22"/>
      <c r="Q381" s="22"/>
      <c r="R381" s="22"/>
      <c r="S381" s="22"/>
    </row>
    <row r="382" spans="8:19" x14ac:dyDescent="0.15">
      <c r="H382" s="15">
        <v>19</v>
      </c>
      <c r="I382" s="15">
        <v>20</v>
      </c>
      <c r="J382" s="15">
        <f>I382+1</f>
        <v>21</v>
      </c>
      <c r="K382" s="15">
        <f>J382+1</f>
        <v>22</v>
      </c>
      <c r="L382" s="15">
        <v>-597.25</v>
      </c>
      <c r="M382" s="22">
        <v>7.37</v>
      </c>
      <c r="N382" s="15">
        <f t="shared" si="77"/>
        <v>81.037991858887381</v>
      </c>
      <c r="O382" s="22"/>
      <c r="P382" s="22"/>
      <c r="Q382" s="22"/>
      <c r="R382" s="22"/>
      <c r="S382" s="22"/>
    </row>
    <row r="383" spans="8:19" x14ac:dyDescent="0.15">
      <c r="H383" s="15">
        <v>19</v>
      </c>
      <c r="I383" s="15">
        <v>20</v>
      </c>
      <c r="J383" s="15">
        <f>J382+1</f>
        <v>22</v>
      </c>
      <c r="K383" s="15">
        <f>K382+1</f>
        <v>23</v>
      </c>
      <c r="L383" s="15">
        <v>-151.96</v>
      </c>
      <c r="M383" s="22">
        <v>7.42</v>
      </c>
      <c r="N383" s="15">
        <f t="shared" si="77"/>
        <v>20.479784366576819</v>
      </c>
      <c r="O383" s="22"/>
      <c r="P383" s="22"/>
      <c r="Q383" s="22"/>
      <c r="R383" s="22"/>
      <c r="S383" s="22"/>
    </row>
    <row r="384" spans="8:19" x14ac:dyDescent="0.15">
      <c r="H384" s="15">
        <v>19</v>
      </c>
      <c r="I384" s="15">
        <v>20</v>
      </c>
      <c r="J384" s="15">
        <f>J383+1</f>
        <v>23</v>
      </c>
      <c r="K384" s="15">
        <f>K383+1</f>
        <v>24</v>
      </c>
      <c r="L384" s="15">
        <v>-57.41</v>
      </c>
      <c r="M384" s="22">
        <v>7.36</v>
      </c>
      <c r="N384" s="15">
        <f t="shared" si="77"/>
        <v>7.8002717391304337</v>
      </c>
      <c r="O384" s="22"/>
      <c r="P384" s="22"/>
      <c r="Q384" s="22"/>
      <c r="R384" s="22"/>
      <c r="S384" s="22"/>
    </row>
    <row r="385" spans="8:19" x14ac:dyDescent="0.15">
      <c r="H385" s="15">
        <v>19</v>
      </c>
      <c r="I385" s="15">
        <v>20</v>
      </c>
      <c r="J385" s="15">
        <f>J384+1</f>
        <v>24</v>
      </c>
      <c r="K385" s="15">
        <v>1</v>
      </c>
      <c r="L385" s="15">
        <v>-31.27</v>
      </c>
      <c r="M385" s="22">
        <v>7.1</v>
      </c>
      <c r="N385" s="15">
        <f t="shared" si="77"/>
        <v>4.4042253521126762</v>
      </c>
      <c r="O385" s="22"/>
      <c r="P385" s="22"/>
      <c r="Q385" s="22"/>
      <c r="R385" s="22"/>
      <c r="S385" s="22"/>
    </row>
    <row r="386" spans="8:19" x14ac:dyDescent="0.15">
      <c r="H386" s="15">
        <v>19</v>
      </c>
      <c r="I386" s="15">
        <v>20</v>
      </c>
      <c r="J386" s="15">
        <v>1</v>
      </c>
      <c r="K386" s="15">
        <f t="shared" ref="K386:K402" si="86">K385+1</f>
        <v>2</v>
      </c>
      <c r="L386" s="15">
        <v>-22.77</v>
      </c>
      <c r="M386" s="22">
        <v>7</v>
      </c>
      <c r="N386" s="15">
        <f t="shared" si="77"/>
        <v>3.2528571428571427</v>
      </c>
      <c r="O386" s="22"/>
      <c r="P386" s="22"/>
      <c r="Q386" s="22"/>
      <c r="R386" s="22"/>
      <c r="S386" s="22"/>
    </row>
    <row r="387" spans="8:19" x14ac:dyDescent="0.15">
      <c r="H387" s="15">
        <v>19</v>
      </c>
      <c r="I387" s="15">
        <v>20</v>
      </c>
      <c r="J387" s="15">
        <f t="shared" ref="J387:J402" si="87">J386+1</f>
        <v>2</v>
      </c>
      <c r="K387" s="15">
        <f t="shared" si="86"/>
        <v>3</v>
      </c>
      <c r="L387" s="15">
        <v>-15.85</v>
      </c>
      <c r="M387" s="22">
        <v>7.14</v>
      </c>
      <c r="N387" s="15">
        <f t="shared" si="77"/>
        <v>2.2198879551820729</v>
      </c>
      <c r="O387" s="22"/>
      <c r="P387" s="22"/>
      <c r="Q387" s="22"/>
      <c r="R387" s="22"/>
      <c r="S387" s="22"/>
    </row>
    <row r="388" spans="8:19" x14ac:dyDescent="0.15">
      <c r="H388" s="15">
        <v>19</v>
      </c>
      <c r="I388" s="15">
        <v>20</v>
      </c>
      <c r="J388" s="15">
        <f t="shared" si="87"/>
        <v>3</v>
      </c>
      <c r="K388" s="15">
        <f t="shared" si="86"/>
        <v>4</v>
      </c>
      <c r="L388" s="15">
        <v>-13.26</v>
      </c>
      <c r="M388" s="22">
        <v>6.91</v>
      </c>
      <c r="N388" s="15">
        <f t="shared" si="77"/>
        <v>1.918958031837916</v>
      </c>
      <c r="O388" s="22"/>
      <c r="P388" s="22"/>
      <c r="Q388" s="22"/>
      <c r="R388" s="22"/>
      <c r="S388" s="22"/>
    </row>
    <row r="389" spans="8:19" x14ac:dyDescent="0.15">
      <c r="H389" s="15">
        <v>19</v>
      </c>
      <c r="I389" s="15">
        <v>20</v>
      </c>
      <c r="J389" s="15">
        <f t="shared" si="87"/>
        <v>4</v>
      </c>
      <c r="K389" s="15">
        <f t="shared" si="86"/>
        <v>5</v>
      </c>
      <c r="L389" s="15">
        <v>-12.66</v>
      </c>
      <c r="M389" s="22">
        <v>6.93</v>
      </c>
      <c r="N389" s="15">
        <f t="shared" ref="N389:N452" si="88">-L389/M389</f>
        <v>1.8268398268398269</v>
      </c>
      <c r="O389" s="22"/>
      <c r="P389" s="22"/>
      <c r="Q389" s="22"/>
      <c r="R389" s="22"/>
      <c r="S389" s="22"/>
    </row>
    <row r="390" spans="8:19" x14ac:dyDescent="0.15">
      <c r="H390" s="15">
        <v>19</v>
      </c>
      <c r="I390" s="15">
        <v>20</v>
      </c>
      <c r="J390" s="15">
        <f t="shared" si="87"/>
        <v>5</v>
      </c>
      <c r="K390" s="15">
        <f t="shared" si="86"/>
        <v>6</v>
      </c>
      <c r="L390" s="15">
        <v>-10.79</v>
      </c>
      <c r="M390" s="22">
        <v>6.94</v>
      </c>
      <c r="N390" s="15">
        <f t="shared" si="88"/>
        <v>1.5547550432276656</v>
      </c>
      <c r="O390" s="22"/>
      <c r="P390" s="22"/>
      <c r="Q390" s="22"/>
      <c r="R390" s="22"/>
      <c r="S390" s="22"/>
    </row>
    <row r="391" spans="8:19" x14ac:dyDescent="0.15">
      <c r="H391" s="15">
        <v>19</v>
      </c>
      <c r="I391" s="15">
        <v>20</v>
      </c>
      <c r="J391" s="15">
        <f t="shared" si="87"/>
        <v>6</v>
      </c>
      <c r="K391" s="15">
        <f t="shared" si="86"/>
        <v>7</v>
      </c>
      <c r="L391" s="15">
        <v>-11.16</v>
      </c>
      <c r="M391" s="22">
        <v>6.92</v>
      </c>
      <c r="N391" s="15">
        <f t="shared" si="88"/>
        <v>1.6127167630057804</v>
      </c>
      <c r="O391" s="22"/>
      <c r="P391" s="22"/>
      <c r="Q391" s="22"/>
      <c r="R391" s="22"/>
      <c r="S391" s="22"/>
    </row>
    <row r="392" spans="8:19" x14ac:dyDescent="0.15">
      <c r="H392" s="15">
        <v>19</v>
      </c>
      <c r="I392" s="15">
        <v>20</v>
      </c>
      <c r="J392" s="15">
        <f t="shared" si="87"/>
        <v>7</v>
      </c>
      <c r="K392" s="15">
        <f t="shared" si="86"/>
        <v>8</v>
      </c>
      <c r="L392" s="15">
        <v>-11.14</v>
      </c>
      <c r="M392" s="22">
        <v>6.9</v>
      </c>
      <c r="N392" s="15">
        <f t="shared" si="88"/>
        <v>1.6144927536231883</v>
      </c>
      <c r="O392" s="22"/>
      <c r="P392" s="22"/>
      <c r="Q392" s="22"/>
      <c r="R392" s="22"/>
      <c r="S392" s="22"/>
    </row>
    <row r="393" spans="8:19" x14ac:dyDescent="0.15">
      <c r="H393" s="15">
        <v>19</v>
      </c>
      <c r="I393" s="15">
        <v>20</v>
      </c>
      <c r="J393" s="15">
        <f t="shared" si="87"/>
        <v>8</v>
      </c>
      <c r="K393" s="15">
        <f t="shared" si="86"/>
        <v>9</v>
      </c>
      <c r="L393" s="15">
        <v>-9.8800000000000008</v>
      </c>
      <c r="M393" s="22">
        <v>6.93</v>
      </c>
      <c r="N393" s="15">
        <f t="shared" si="88"/>
        <v>1.4256854256854259</v>
      </c>
      <c r="O393" s="22"/>
      <c r="P393" s="22"/>
      <c r="Q393" s="22"/>
      <c r="R393" s="22"/>
      <c r="S393" s="22"/>
    </row>
    <row r="394" spans="8:19" x14ac:dyDescent="0.15">
      <c r="H394" s="15">
        <v>19</v>
      </c>
      <c r="I394" s="15">
        <v>20</v>
      </c>
      <c r="J394" s="15">
        <f t="shared" si="87"/>
        <v>9</v>
      </c>
      <c r="K394" s="15">
        <f t="shared" si="86"/>
        <v>10</v>
      </c>
      <c r="L394" s="22">
        <v>-11.64</v>
      </c>
      <c r="M394" s="22">
        <v>8.06</v>
      </c>
      <c r="N394" s="15">
        <f t="shared" si="88"/>
        <v>1.4441687344913152</v>
      </c>
      <c r="O394" s="22"/>
      <c r="P394" s="22"/>
      <c r="Q394" s="22"/>
      <c r="R394" s="22"/>
      <c r="S394" s="22"/>
    </row>
    <row r="395" spans="8:19" x14ac:dyDescent="0.15">
      <c r="H395" s="15">
        <v>19</v>
      </c>
      <c r="I395" s="15">
        <v>20</v>
      </c>
      <c r="J395" s="15">
        <f t="shared" si="87"/>
        <v>10</v>
      </c>
      <c r="K395" s="15">
        <f t="shared" si="86"/>
        <v>11</v>
      </c>
      <c r="L395" s="22">
        <v>-12.5</v>
      </c>
      <c r="M395" s="22">
        <v>8.1199999999999992</v>
      </c>
      <c r="N395" s="15">
        <f t="shared" si="88"/>
        <v>1.5394088669950741</v>
      </c>
      <c r="O395" s="22"/>
      <c r="P395" s="22"/>
      <c r="Q395" s="22"/>
      <c r="R395" s="22"/>
      <c r="S395" s="22"/>
    </row>
    <row r="396" spans="8:19" x14ac:dyDescent="0.15">
      <c r="H396" s="15">
        <v>19</v>
      </c>
      <c r="I396" s="15">
        <v>20</v>
      </c>
      <c r="J396" s="15">
        <f t="shared" si="87"/>
        <v>11</v>
      </c>
      <c r="K396" s="15">
        <f t="shared" si="86"/>
        <v>12</v>
      </c>
      <c r="L396" s="15">
        <v>-12.66</v>
      </c>
      <c r="M396" s="22">
        <v>7.03</v>
      </c>
      <c r="N396" s="15">
        <f t="shared" si="88"/>
        <v>1.8008534850640114</v>
      </c>
      <c r="O396" s="22"/>
      <c r="P396" s="22"/>
      <c r="Q396" s="22"/>
      <c r="R396" s="22"/>
      <c r="S396" s="22"/>
    </row>
    <row r="397" spans="8:19" x14ac:dyDescent="0.15">
      <c r="H397" s="15">
        <v>19</v>
      </c>
      <c r="I397" s="15">
        <v>20</v>
      </c>
      <c r="J397" s="15">
        <f t="shared" si="87"/>
        <v>12</v>
      </c>
      <c r="K397" s="15">
        <f t="shared" si="86"/>
        <v>13</v>
      </c>
      <c r="L397" s="15">
        <v>-14.49</v>
      </c>
      <c r="M397" s="22">
        <v>6.9</v>
      </c>
      <c r="N397" s="15">
        <f t="shared" si="88"/>
        <v>2.1</v>
      </c>
      <c r="O397" s="22"/>
      <c r="P397" s="22"/>
      <c r="Q397" s="22"/>
      <c r="R397" s="22"/>
      <c r="S397" s="22"/>
    </row>
    <row r="398" spans="8:19" x14ac:dyDescent="0.15">
      <c r="H398" s="15">
        <v>19</v>
      </c>
      <c r="I398" s="15">
        <v>20</v>
      </c>
      <c r="J398" s="15">
        <f t="shared" si="87"/>
        <v>13</v>
      </c>
      <c r="K398" s="15">
        <f t="shared" si="86"/>
        <v>14</v>
      </c>
      <c r="L398" s="15">
        <v>-19.55</v>
      </c>
      <c r="M398" s="22">
        <v>6.97</v>
      </c>
      <c r="N398" s="15">
        <f t="shared" si="88"/>
        <v>2.8048780487804881</v>
      </c>
      <c r="O398" s="22"/>
      <c r="P398" s="22"/>
      <c r="Q398" s="22"/>
      <c r="R398" s="22"/>
      <c r="S398" s="22"/>
    </row>
    <row r="399" spans="8:19" x14ac:dyDescent="0.15">
      <c r="H399" s="15">
        <v>19</v>
      </c>
      <c r="I399" s="15">
        <v>20</v>
      </c>
      <c r="J399" s="15">
        <f t="shared" si="87"/>
        <v>14</v>
      </c>
      <c r="K399" s="15">
        <f t="shared" si="86"/>
        <v>15</v>
      </c>
      <c r="L399" s="15">
        <v>-27.89</v>
      </c>
      <c r="M399" s="22">
        <v>6.84</v>
      </c>
      <c r="N399" s="15">
        <f t="shared" si="88"/>
        <v>4.0774853801169595</v>
      </c>
      <c r="O399" s="22"/>
      <c r="P399" s="22"/>
      <c r="Q399" s="22"/>
      <c r="R399" s="22"/>
      <c r="S399" s="22"/>
    </row>
    <row r="400" spans="8:19" x14ac:dyDescent="0.15">
      <c r="H400" s="15">
        <v>19</v>
      </c>
      <c r="I400" s="15">
        <v>20</v>
      </c>
      <c r="J400" s="15">
        <f t="shared" si="87"/>
        <v>15</v>
      </c>
      <c r="K400" s="15">
        <f t="shared" si="86"/>
        <v>16</v>
      </c>
      <c r="L400" s="15">
        <v>-55.52</v>
      </c>
      <c r="M400" s="22">
        <v>6.87</v>
      </c>
      <c r="N400" s="15">
        <f t="shared" si="88"/>
        <v>8.0815138282387196</v>
      </c>
      <c r="O400" s="22"/>
      <c r="P400" s="22"/>
      <c r="Q400" s="22"/>
      <c r="R400" s="22"/>
      <c r="S400" s="22"/>
    </row>
    <row r="401" spans="8:19" x14ac:dyDescent="0.15">
      <c r="H401" s="15">
        <v>19</v>
      </c>
      <c r="I401" s="15">
        <v>20</v>
      </c>
      <c r="J401" s="15">
        <f t="shared" si="87"/>
        <v>16</v>
      </c>
      <c r="K401" s="15">
        <f t="shared" si="86"/>
        <v>17</v>
      </c>
      <c r="L401" s="15">
        <v>-123.59</v>
      </c>
      <c r="M401" s="22">
        <v>6.68</v>
      </c>
      <c r="N401" s="15">
        <f t="shared" si="88"/>
        <v>18.501497005988025</v>
      </c>
      <c r="O401" s="22"/>
      <c r="P401" s="22"/>
      <c r="Q401" s="22"/>
      <c r="R401" s="22"/>
      <c r="S401" s="22"/>
    </row>
    <row r="402" spans="8:19" x14ac:dyDescent="0.15">
      <c r="H402" s="15">
        <v>19</v>
      </c>
      <c r="I402" s="15">
        <v>20</v>
      </c>
      <c r="J402" s="15">
        <f t="shared" si="87"/>
        <v>17</v>
      </c>
      <c r="K402" s="15">
        <f t="shared" si="86"/>
        <v>18</v>
      </c>
      <c r="L402" s="15">
        <v>-494.58</v>
      </c>
      <c r="M402" s="22">
        <v>6.71</v>
      </c>
      <c r="N402" s="15">
        <f t="shared" si="88"/>
        <v>73.707898658718335</v>
      </c>
      <c r="O402" s="22"/>
      <c r="P402" s="22"/>
      <c r="Q402" s="22"/>
      <c r="R402" s="22"/>
      <c r="S402" s="22"/>
    </row>
    <row r="403" spans="8:19" x14ac:dyDescent="0.15">
      <c r="H403" s="15">
        <v>20</v>
      </c>
      <c r="I403" s="15">
        <v>21</v>
      </c>
      <c r="J403" s="15">
        <f>I403+1</f>
        <v>22</v>
      </c>
      <c r="K403" s="15">
        <f>J403+1</f>
        <v>23</v>
      </c>
      <c r="L403" s="15">
        <v>-518.66</v>
      </c>
      <c r="M403" s="22">
        <v>6.8</v>
      </c>
      <c r="N403" s="15">
        <f t="shared" si="88"/>
        <v>76.273529411764699</v>
      </c>
      <c r="O403" s="22"/>
      <c r="P403" s="22"/>
      <c r="Q403" s="22"/>
      <c r="R403" s="22"/>
      <c r="S403" s="22"/>
    </row>
    <row r="404" spans="8:19" x14ac:dyDescent="0.15">
      <c r="H404" s="15">
        <v>20</v>
      </c>
      <c r="I404" s="15">
        <v>21</v>
      </c>
      <c r="J404" s="15">
        <f>J403+1</f>
        <v>23</v>
      </c>
      <c r="K404" s="15">
        <f>K403+1</f>
        <v>24</v>
      </c>
      <c r="L404" s="15">
        <v>-118.7</v>
      </c>
      <c r="M404" s="22">
        <v>6.67</v>
      </c>
      <c r="N404" s="15">
        <f t="shared" si="88"/>
        <v>17.796101949025488</v>
      </c>
      <c r="O404" s="22"/>
      <c r="P404" s="22"/>
      <c r="Q404" s="22"/>
      <c r="R404" s="22"/>
      <c r="S404" s="22"/>
    </row>
    <row r="405" spans="8:19" x14ac:dyDescent="0.15">
      <c r="H405" s="15">
        <v>20</v>
      </c>
      <c r="I405" s="15">
        <v>21</v>
      </c>
      <c r="J405" s="15">
        <f>J404+1</f>
        <v>24</v>
      </c>
      <c r="K405" s="15">
        <v>1</v>
      </c>
      <c r="L405" s="15">
        <v>-50.42</v>
      </c>
      <c r="M405" s="22">
        <v>6.59</v>
      </c>
      <c r="N405" s="15">
        <f t="shared" si="88"/>
        <v>7.6509863429438552</v>
      </c>
      <c r="O405" s="22"/>
      <c r="P405" s="22"/>
      <c r="Q405" s="22"/>
      <c r="R405" s="22"/>
      <c r="S405" s="22"/>
    </row>
    <row r="406" spans="8:19" x14ac:dyDescent="0.15">
      <c r="H406" s="15">
        <v>20</v>
      </c>
      <c r="I406" s="15">
        <v>21</v>
      </c>
      <c r="J406" s="15">
        <v>1</v>
      </c>
      <c r="K406" s="15">
        <f t="shared" ref="K406:K423" si="89">K405+1</f>
        <v>2</v>
      </c>
      <c r="L406" s="15">
        <v>-29.72</v>
      </c>
      <c r="M406" s="22">
        <v>6.44</v>
      </c>
      <c r="N406" s="15">
        <f t="shared" si="88"/>
        <v>4.6149068322981366</v>
      </c>
      <c r="O406" s="22"/>
      <c r="P406" s="22"/>
      <c r="Q406" s="22"/>
      <c r="R406" s="22"/>
      <c r="S406" s="22"/>
    </row>
    <row r="407" spans="8:19" x14ac:dyDescent="0.15">
      <c r="H407" s="15">
        <v>20</v>
      </c>
      <c r="I407" s="15">
        <v>21</v>
      </c>
      <c r="J407" s="15">
        <f t="shared" ref="J407:J423" si="90">J406+1</f>
        <v>2</v>
      </c>
      <c r="K407" s="15">
        <f t="shared" si="89"/>
        <v>3</v>
      </c>
      <c r="L407" s="15">
        <v>-17.829999999999998</v>
      </c>
      <c r="M407" s="22">
        <v>6.59</v>
      </c>
      <c r="N407" s="15">
        <f t="shared" si="88"/>
        <v>2.7056145675265553</v>
      </c>
      <c r="O407" s="22"/>
      <c r="P407" s="22"/>
      <c r="Q407" s="22"/>
      <c r="R407" s="22"/>
      <c r="S407" s="22"/>
    </row>
    <row r="408" spans="8:19" x14ac:dyDescent="0.15">
      <c r="H408" s="15">
        <v>20</v>
      </c>
      <c r="I408" s="15">
        <v>21</v>
      </c>
      <c r="J408" s="15">
        <f t="shared" si="90"/>
        <v>3</v>
      </c>
      <c r="K408" s="15">
        <f t="shared" si="89"/>
        <v>4</v>
      </c>
      <c r="L408" s="15">
        <v>-13.52</v>
      </c>
      <c r="M408" s="22">
        <v>6.54</v>
      </c>
      <c r="N408" s="15">
        <f t="shared" si="88"/>
        <v>2.0672782874617734</v>
      </c>
      <c r="O408" s="22"/>
      <c r="P408" s="22"/>
      <c r="Q408" s="22"/>
      <c r="R408" s="22"/>
      <c r="S408" s="22"/>
    </row>
    <row r="409" spans="8:19" x14ac:dyDescent="0.15">
      <c r="H409" s="15">
        <v>20</v>
      </c>
      <c r="I409" s="15">
        <v>21</v>
      </c>
      <c r="J409" s="15">
        <f t="shared" si="90"/>
        <v>4</v>
      </c>
      <c r="K409" s="15">
        <f t="shared" si="89"/>
        <v>5</v>
      </c>
      <c r="L409" s="15">
        <v>-12.54</v>
      </c>
      <c r="M409" s="22">
        <v>6.63</v>
      </c>
      <c r="N409" s="15">
        <f t="shared" si="88"/>
        <v>1.8914027149321266</v>
      </c>
      <c r="O409" s="22"/>
      <c r="P409" s="22"/>
      <c r="Q409" s="22"/>
      <c r="R409" s="22"/>
      <c r="S409" s="22"/>
    </row>
    <row r="410" spans="8:19" x14ac:dyDescent="0.15">
      <c r="H410" s="15">
        <v>20</v>
      </c>
      <c r="I410" s="15">
        <v>21</v>
      </c>
      <c r="J410" s="15">
        <f t="shared" si="90"/>
        <v>5</v>
      </c>
      <c r="K410" s="15">
        <f t="shared" si="89"/>
        <v>6</v>
      </c>
      <c r="L410" s="15">
        <v>-11.04</v>
      </c>
      <c r="M410" s="22">
        <v>6.63</v>
      </c>
      <c r="N410" s="15">
        <f t="shared" si="88"/>
        <v>1.6651583710407238</v>
      </c>
      <c r="O410" s="22"/>
      <c r="P410" s="22"/>
      <c r="Q410" s="22"/>
      <c r="R410" s="22"/>
      <c r="S410" s="22"/>
    </row>
    <row r="411" spans="8:19" x14ac:dyDescent="0.15">
      <c r="H411" s="15">
        <v>20</v>
      </c>
      <c r="I411" s="15">
        <v>21</v>
      </c>
      <c r="J411" s="15">
        <f t="shared" si="90"/>
        <v>6</v>
      </c>
      <c r="K411" s="15">
        <f t="shared" si="89"/>
        <v>7</v>
      </c>
      <c r="L411" s="15">
        <v>-9.48</v>
      </c>
      <c r="M411" s="22">
        <v>6.52</v>
      </c>
      <c r="N411" s="15">
        <f t="shared" si="88"/>
        <v>1.45398773006135</v>
      </c>
      <c r="O411" s="22"/>
      <c r="P411" s="22"/>
      <c r="Q411" s="22"/>
      <c r="R411" s="22"/>
      <c r="S411" s="22"/>
    </row>
    <row r="412" spans="8:19" x14ac:dyDescent="0.15">
      <c r="H412" s="15">
        <v>20</v>
      </c>
      <c r="I412" s="15">
        <v>21</v>
      </c>
      <c r="J412" s="15">
        <f t="shared" si="90"/>
        <v>7</v>
      </c>
      <c r="K412" s="15">
        <f t="shared" si="89"/>
        <v>8</v>
      </c>
      <c r="L412" s="15">
        <v>-10.37</v>
      </c>
      <c r="M412" s="22">
        <v>6.74</v>
      </c>
      <c r="N412" s="15">
        <f t="shared" si="88"/>
        <v>1.5385756676557862</v>
      </c>
      <c r="O412" s="22"/>
      <c r="P412" s="22"/>
      <c r="Q412" s="22"/>
      <c r="R412" s="22"/>
      <c r="S412" s="22"/>
    </row>
    <row r="413" spans="8:19" x14ac:dyDescent="0.15">
      <c r="H413" s="15">
        <v>20</v>
      </c>
      <c r="I413" s="15">
        <v>21</v>
      </c>
      <c r="J413" s="15">
        <f t="shared" si="90"/>
        <v>8</v>
      </c>
      <c r="K413" s="15">
        <f t="shared" si="89"/>
        <v>9</v>
      </c>
      <c r="L413" s="15">
        <v>-9.18</v>
      </c>
      <c r="M413" s="22">
        <v>6.85</v>
      </c>
      <c r="N413" s="15">
        <f t="shared" si="88"/>
        <v>1.3401459854014599</v>
      </c>
      <c r="O413" s="22"/>
      <c r="P413" s="22"/>
      <c r="Q413" s="22"/>
      <c r="R413" s="22"/>
      <c r="S413" s="22"/>
    </row>
    <row r="414" spans="8:19" x14ac:dyDescent="0.15">
      <c r="H414" s="15">
        <v>20</v>
      </c>
      <c r="I414" s="15">
        <v>21</v>
      </c>
      <c r="J414" s="15">
        <f t="shared" si="90"/>
        <v>9</v>
      </c>
      <c r="K414" s="15">
        <f t="shared" si="89"/>
        <v>10</v>
      </c>
      <c r="L414" s="15">
        <v>-8.98</v>
      </c>
      <c r="M414" s="22">
        <v>6.74</v>
      </c>
      <c r="N414" s="15">
        <f t="shared" si="88"/>
        <v>1.3323442136498516</v>
      </c>
      <c r="O414" s="22"/>
      <c r="P414" s="22"/>
      <c r="Q414" s="22"/>
      <c r="R414" s="22"/>
      <c r="S414" s="22"/>
    </row>
    <row r="415" spans="8:19" x14ac:dyDescent="0.15">
      <c r="H415" s="15">
        <v>20</v>
      </c>
      <c r="I415" s="15">
        <v>21</v>
      </c>
      <c r="J415" s="15">
        <f t="shared" si="90"/>
        <v>10</v>
      </c>
      <c r="K415" s="15">
        <f t="shared" si="89"/>
        <v>11</v>
      </c>
      <c r="L415" s="15">
        <v>-9.2799999999999994</v>
      </c>
      <c r="M415" s="22">
        <v>6.89</v>
      </c>
      <c r="N415" s="15">
        <f t="shared" si="88"/>
        <v>1.3468795355587808</v>
      </c>
      <c r="O415" s="22"/>
      <c r="P415" s="22"/>
      <c r="Q415" s="22"/>
      <c r="R415" s="22"/>
      <c r="S415" s="22"/>
    </row>
    <row r="416" spans="8:19" x14ac:dyDescent="0.15">
      <c r="H416" s="15">
        <v>20</v>
      </c>
      <c r="I416" s="15">
        <v>21</v>
      </c>
      <c r="J416" s="15">
        <f t="shared" si="90"/>
        <v>11</v>
      </c>
      <c r="K416" s="15">
        <f t="shared" si="89"/>
        <v>12</v>
      </c>
      <c r="L416" s="15">
        <v>-10.41</v>
      </c>
      <c r="M416" s="22">
        <v>7.05</v>
      </c>
      <c r="N416" s="15">
        <f t="shared" si="88"/>
        <v>1.4765957446808511</v>
      </c>
      <c r="O416" s="22"/>
      <c r="P416" s="22"/>
      <c r="Q416" s="22"/>
      <c r="R416" s="22"/>
      <c r="S416" s="22"/>
    </row>
    <row r="417" spans="8:19" x14ac:dyDescent="0.15">
      <c r="H417" s="15">
        <v>20</v>
      </c>
      <c r="I417" s="15">
        <v>21</v>
      </c>
      <c r="J417" s="15">
        <f t="shared" si="90"/>
        <v>12</v>
      </c>
      <c r="K417" s="15">
        <f t="shared" si="89"/>
        <v>13</v>
      </c>
      <c r="L417" s="15">
        <v>-11.44</v>
      </c>
      <c r="M417" s="22">
        <v>6.98</v>
      </c>
      <c r="N417" s="15">
        <f t="shared" si="88"/>
        <v>1.638968481375358</v>
      </c>
      <c r="O417" s="22"/>
      <c r="P417" s="22"/>
      <c r="Q417" s="22"/>
      <c r="R417" s="22"/>
      <c r="S417" s="22"/>
    </row>
    <row r="418" spans="8:19" x14ac:dyDescent="0.15">
      <c r="H418" s="15">
        <v>20</v>
      </c>
      <c r="I418" s="15">
        <v>21</v>
      </c>
      <c r="J418" s="15">
        <f t="shared" si="90"/>
        <v>13</v>
      </c>
      <c r="K418" s="15">
        <f t="shared" si="89"/>
        <v>14</v>
      </c>
      <c r="L418" s="15">
        <v>-14.04</v>
      </c>
      <c r="M418" s="22">
        <v>6.98</v>
      </c>
      <c r="N418" s="15">
        <f t="shared" si="88"/>
        <v>2.0114613180515759</v>
      </c>
      <c r="O418" s="22"/>
      <c r="P418" s="22"/>
      <c r="Q418" s="22"/>
      <c r="R418" s="22"/>
      <c r="S418" s="22"/>
    </row>
    <row r="419" spans="8:19" x14ac:dyDescent="0.15">
      <c r="H419" s="15">
        <v>20</v>
      </c>
      <c r="I419" s="15">
        <v>21</v>
      </c>
      <c r="J419" s="15">
        <f t="shared" si="90"/>
        <v>14</v>
      </c>
      <c r="K419" s="15">
        <f t="shared" si="89"/>
        <v>15</v>
      </c>
      <c r="L419" s="15">
        <v>-18.02</v>
      </c>
      <c r="M419" s="22">
        <v>7.09</v>
      </c>
      <c r="N419" s="15">
        <f t="shared" si="88"/>
        <v>2.5416078984485191</v>
      </c>
      <c r="O419" s="22"/>
      <c r="P419" s="22"/>
      <c r="Q419" s="22"/>
      <c r="R419" s="22"/>
      <c r="S419" s="22"/>
    </row>
    <row r="420" spans="8:19" x14ac:dyDescent="0.15">
      <c r="H420" s="15">
        <v>20</v>
      </c>
      <c r="I420" s="15">
        <v>21</v>
      </c>
      <c r="J420" s="15">
        <f t="shared" si="90"/>
        <v>15</v>
      </c>
      <c r="K420" s="15">
        <f t="shared" si="89"/>
        <v>16</v>
      </c>
      <c r="L420" s="15">
        <v>-30.95</v>
      </c>
      <c r="M420" s="22">
        <v>7.25</v>
      </c>
      <c r="N420" s="15">
        <f t="shared" si="88"/>
        <v>4.2689655172413792</v>
      </c>
      <c r="O420" s="22"/>
      <c r="P420" s="22"/>
      <c r="Q420" s="22"/>
      <c r="R420" s="22"/>
      <c r="S420" s="22"/>
    </row>
    <row r="421" spans="8:19" x14ac:dyDescent="0.15">
      <c r="H421" s="15">
        <v>20</v>
      </c>
      <c r="I421" s="15">
        <v>21</v>
      </c>
      <c r="J421" s="15">
        <f t="shared" si="90"/>
        <v>16</v>
      </c>
      <c r="K421" s="15">
        <f t="shared" si="89"/>
        <v>17</v>
      </c>
      <c r="L421" s="15">
        <v>-55.49</v>
      </c>
      <c r="M421" s="22">
        <v>7.25</v>
      </c>
      <c r="N421" s="15">
        <f t="shared" si="88"/>
        <v>7.653793103448276</v>
      </c>
      <c r="O421" s="22"/>
      <c r="P421" s="22"/>
      <c r="Q421" s="22"/>
      <c r="R421" s="22"/>
      <c r="S421" s="22"/>
    </row>
    <row r="422" spans="8:19" x14ac:dyDescent="0.15">
      <c r="H422" s="15">
        <v>20</v>
      </c>
      <c r="I422" s="15">
        <v>21</v>
      </c>
      <c r="J422" s="15">
        <f t="shared" si="90"/>
        <v>17</v>
      </c>
      <c r="K422" s="15">
        <f t="shared" si="89"/>
        <v>18</v>
      </c>
      <c r="L422" s="15">
        <v>-136.91</v>
      </c>
      <c r="M422" s="22">
        <v>7.16</v>
      </c>
      <c r="N422" s="15">
        <f t="shared" si="88"/>
        <v>19.121508379888269</v>
      </c>
      <c r="O422" s="22"/>
      <c r="P422" s="22"/>
      <c r="Q422" s="22"/>
      <c r="R422" s="22"/>
      <c r="S422" s="22"/>
    </row>
    <row r="423" spans="8:19" x14ac:dyDescent="0.15">
      <c r="H423" s="15">
        <v>20</v>
      </c>
      <c r="I423" s="15">
        <v>21</v>
      </c>
      <c r="J423" s="15">
        <f t="shared" si="90"/>
        <v>18</v>
      </c>
      <c r="K423" s="15">
        <f t="shared" si="89"/>
        <v>19</v>
      </c>
      <c r="L423" s="15">
        <v>-575.05999999999995</v>
      </c>
      <c r="M423" s="22">
        <v>7.26</v>
      </c>
      <c r="N423" s="15">
        <f t="shared" si="88"/>
        <v>79.209366391184574</v>
      </c>
      <c r="O423" s="22"/>
      <c r="P423" s="22"/>
      <c r="Q423" s="22"/>
      <c r="R423" s="22"/>
      <c r="S423" s="22"/>
    </row>
    <row r="424" spans="8:19" x14ac:dyDescent="0.15">
      <c r="H424" s="15">
        <v>21</v>
      </c>
      <c r="I424" s="15">
        <v>22</v>
      </c>
      <c r="J424" s="15">
        <f>I424+1</f>
        <v>23</v>
      </c>
      <c r="K424" s="15">
        <f>J424+1</f>
        <v>24</v>
      </c>
      <c r="L424" s="15">
        <v>-475.49</v>
      </c>
      <c r="M424" s="22">
        <v>6.84</v>
      </c>
      <c r="N424" s="15">
        <f t="shared" si="88"/>
        <v>69.516081871345037</v>
      </c>
      <c r="O424" s="22"/>
      <c r="P424" s="22"/>
      <c r="Q424" s="22"/>
      <c r="R424" s="22"/>
      <c r="S424" s="22"/>
    </row>
    <row r="425" spans="8:19" x14ac:dyDescent="0.15">
      <c r="H425" s="15">
        <v>21</v>
      </c>
      <c r="I425" s="15">
        <v>22</v>
      </c>
      <c r="J425" s="15">
        <f>J424+1</f>
        <v>24</v>
      </c>
      <c r="K425" s="15">
        <v>1</v>
      </c>
      <c r="L425" s="15">
        <v>-126.47</v>
      </c>
      <c r="M425" s="22">
        <v>6.73</v>
      </c>
      <c r="N425" s="15">
        <f t="shared" si="88"/>
        <v>18.791976225854381</v>
      </c>
      <c r="O425" s="22"/>
      <c r="P425" s="22"/>
      <c r="Q425" s="22"/>
      <c r="R425" s="22"/>
      <c r="S425" s="22"/>
    </row>
    <row r="426" spans="8:19" x14ac:dyDescent="0.15">
      <c r="H426" s="15">
        <v>21</v>
      </c>
      <c r="I426" s="15">
        <v>22</v>
      </c>
      <c r="J426" s="15">
        <v>1</v>
      </c>
      <c r="K426" s="15">
        <f t="shared" ref="K426:K444" si="91">K425+1</f>
        <v>2</v>
      </c>
      <c r="L426" s="15">
        <v>-60.76</v>
      </c>
      <c r="M426" s="22">
        <v>6.78</v>
      </c>
      <c r="N426" s="15">
        <f t="shared" si="88"/>
        <v>8.9616519174041294</v>
      </c>
      <c r="O426" s="22"/>
      <c r="P426" s="22"/>
      <c r="Q426" s="22"/>
      <c r="R426" s="22"/>
      <c r="S426" s="22"/>
    </row>
    <row r="427" spans="8:19" x14ac:dyDescent="0.15">
      <c r="H427" s="15">
        <v>21</v>
      </c>
      <c r="I427" s="15">
        <v>22</v>
      </c>
      <c r="J427" s="15">
        <f t="shared" ref="J427:J444" si="92">J426+1</f>
        <v>2</v>
      </c>
      <c r="K427" s="15">
        <f t="shared" si="91"/>
        <v>3</v>
      </c>
      <c r="L427" s="15">
        <v>-30.06</v>
      </c>
      <c r="M427" s="22">
        <v>6.74</v>
      </c>
      <c r="N427" s="15">
        <f t="shared" si="88"/>
        <v>4.4599406528189904</v>
      </c>
      <c r="O427" s="22"/>
      <c r="P427" s="22"/>
      <c r="Q427" s="22"/>
      <c r="R427" s="22"/>
      <c r="S427" s="22"/>
    </row>
    <row r="428" spans="8:19" x14ac:dyDescent="0.15">
      <c r="H428" s="15">
        <v>21</v>
      </c>
      <c r="I428" s="15">
        <v>22</v>
      </c>
      <c r="J428" s="15">
        <f t="shared" si="92"/>
        <v>3</v>
      </c>
      <c r="K428" s="15">
        <f t="shared" si="91"/>
        <v>4</v>
      </c>
      <c r="L428" s="15">
        <v>-20.97</v>
      </c>
      <c r="M428" s="22">
        <v>6.62</v>
      </c>
      <c r="N428" s="15">
        <f t="shared" si="88"/>
        <v>3.1676737160120845</v>
      </c>
      <c r="O428" s="22"/>
      <c r="P428" s="22"/>
      <c r="Q428" s="22"/>
      <c r="R428" s="22"/>
      <c r="S428" s="22"/>
    </row>
    <row r="429" spans="8:19" x14ac:dyDescent="0.15">
      <c r="H429" s="15">
        <v>21</v>
      </c>
      <c r="I429" s="15">
        <v>22</v>
      </c>
      <c r="J429" s="15">
        <f t="shared" si="92"/>
        <v>4</v>
      </c>
      <c r="K429" s="15">
        <f t="shared" si="91"/>
        <v>5</v>
      </c>
      <c r="L429" s="15">
        <v>-17.3</v>
      </c>
      <c r="M429" s="22">
        <v>6.52</v>
      </c>
      <c r="N429" s="15">
        <f t="shared" si="88"/>
        <v>2.6533742331288348</v>
      </c>
      <c r="O429" s="22"/>
      <c r="P429" s="22"/>
      <c r="Q429" s="22"/>
      <c r="R429" s="22"/>
      <c r="S429" s="22"/>
    </row>
    <row r="430" spans="8:19" x14ac:dyDescent="0.15">
      <c r="H430" s="15">
        <v>21</v>
      </c>
      <c r="I430" s="15">
        <v>22</v>
      </c>
      <c r="J430" s="15">
        <f t="shared" si="92"/>
        <v>5</v>
      </c>
      <c r="K430" s="15">
        <f t="shared" si="91"/>
        <v>6</v>
      </c>
      <c r="L430" s="15">
        <v>-13.41</v>
      </c>
      <c r="M430" s="22">
        <v>6.48</v>
      </c>
      <c r="N430" s="15">
        <f t="shared" si="88"/>
        <v>2.0694444444444442</v>
      </c>
      <c r="O430" s="22"/>
      <c r="P430" s="22"/>
      <c r="Q430" s="22"/>
      <c r="R430" s="22"/>
      <c r="S430" s="22"/>
    </row>
    <row r="431" spans="8:19" x14ac:dyDescent="0.15">
      <c r="H431" s="15">
        <v>21</v>
      </c>
      <c r="I431" s="15">
        <v>22</v>
      </c>
      <c r="J431" s="15">
        <f t="shared" si="92"/>
        <v>6</v>
      </c>
      <c r="K431" s="15">
        <f t="shared" si="91"/>
        <v>7</v>
      </c>
      <c r="L431" s="15">
        <v>-13.31</v>
      </c>
      <c r="M431" s="22">
        <v>6.4</v>
      </c>
      <c r="N431" s="15">
        <f t="shared" si="88"/>
        <v>2.0796874999999999</v>
      </c>
      <c r="O431" s="22"/>
      <c r="P431" s="22"/>
      <c r="Q431" s="22"/>
      <c r="R431" s="22"/>
      <c r="S431" s="22"/>
    </row>
    <row r="432" spans="8:19" x14ac:dyDescent="0.15">
      <c r="H432" s="15">
        <v>21</v>
      </c>
      <c r="I432" s="15">
        <v>22</v>
      </c>
      <c r="J432" s="15">
        <f t="shared" si="92"/>
        <v>7</v>
      </c>
      <c r="K432" s="15">
        <f t="shared" si="91"/>
        <v>8</v>
      </c>
      <c r="L432" s="15">
        <v>-11.28</v>
      </c>
      <c r="M432" s="22">
        <v>6.57</v>
      </c>
      <c r="N432" s="15">
        <f t="shared" si="88"/>
        <v>1.7168949771689497</v>
      </c>
      <c r="O432" s="22"/>
      <c r="P432" s="22"/>
      <c r="Q432" s="22"/>
      <c r="R432" s="22"/>
      <c r="S432" s="22"/>
    </row>
    <row r="433" spans="8:19" x14ac:dyDescent="0.15">
      <c r="H433" s="15">
        <v>21</v>
      </c>
      <c r="I433" s="15">
        <v>22</v>
      </c>
      <c r="J433" s="15">
        <f t="shared" si="92"/>
        <v>8</v>
      </c>
      <c r="K433" s="15">
        <f t="shared" si="91"/>
        <v>9</v>
      </c>
      <c r="L433" s="15">
        <v>-10.25</v>
      </c>
      <c r="M433" s="22">
        <v>6.5</v>
      </c>
      <c r="N433" s="15">
        <f t="shared" si="88"/>
        <v>1.5769230769230769</v>
      </c>
      <c r="O433" s="22"/>
      <c r="P433" s="22"/>
      <c r="Q433" s="22"/>
      <c r="R433" s="22"/>
      <c r="S433" s="22"/>
    </row>
    <row r="434" spans="8:19" x14ac:dyDescent="0.15">
      <c r="H434" s="15">
        <v>21</v>
      </c>
      <c r="I434" s="15">
        <v>22</v>
      </c>
      <c r="J434" s="15">
        <f t="shared" si="92"/>
        <v>9</v>
      </c>
      <c r="K434" s="15">
        <f t="shared" si="91"/>
        <v>10</v>
      </c>
      <c r="L434" s="15">
        <v>-9.18</v>
      </c>
      <c r="M434" s="22">
        <v>7.22</v>
      </c>
      <c r="N434" s="15">
        <f t="shared" si="88"/>
        <v>1.2714681440443214</v>
      </c>
      <c r="O434" s="22"/>
      <c r="P434" s="22"/>
      <c r="Q434" s="22"/>
      <c r="R434" s="22"/>
      <c r="S434" s="22"/>
    </row>
    <row r="435" spans="8:19" x14ac:dyDescent="0.15">
      <c r="H435" s="15">
        <v>21</v>
      </c>
      <c r="I435" s="15">
        <v>22</v>
      </c>
      <c r="J435" s="15">
        <f t="shared" si="92"/>
        <v>10</v>
      </c>
      <c r="K435" s="15">
        <f t="shared" si="91"/>
        <v>11</v>
      </c>
      <c r="L435" s="15">
        <v>-9.7100000000000009</v>
      </c>
      <c r="M435" s="22">
        <v>7.24</v>
      </c>
      <c r="N435" s="15">
        <f t="shared" si="88"/>
        <v>1.3411602209944753</v>
      </c>
      <c r="O435" s="22"/>
      <c r="P435" s="22"/>
      <c r="Q435" s="22"/>
      <c r="R435" s="22"/>
      <c r="S435" s="22"/>
    </row>
    <row r="436" spans="8:19" x14ac:dyDescent="0.15">
      <c r="H436" s="15">
        <v>21</v>
      </c>
      <c r="I436" s="15">
        <v>22</v>
      </c>
      <c r="J436" s="15">
        <f t="shared" si="92"/>
        <v>11</v>
      </c>
      <c r="K436" s="15">
        <f t="shared" si="91"/>
        <v>12</v>
      </c>
      <c r="L436" s="15">
        <v>-9.9</v>
      </c>
      <c r="M436" s="22">
        <v>6.7</v>
      </c>
      <c r="N436" s="15">
        <f t="shared" si="88"/>
        <v>1.4776119402985075</v>
      </c>
      <c r="O436" s="22"/>
      <c r="P436" s="22"/>
      <c r="Q436" s="22"/>
      <c r="R436" s="22"/>
      <c r="S436" s="22"/>
    </row>
    <row r="437" spans="8:19" x14ac:dyDescent="0.15">
      <c r="H437" s="15">
        <v>21</v>
      </c>
      <c r="I437" s="15">
        <v>22</v>
      </c>
      <c r="J437" s="15">
        <f t="shared" si="92"/>
        <v>12</v>
      </c>
      <c r="K437" s="15">
        <f t="shared" si="91"/>
        <v>13</v>
      </c>
      <c r="L437" s="15">
        <v>-10.3</v>
      </c>
      <c r="M437" s="22">
        <v>6.76</v>
      </c>
      <c r="N437" s="15">
        <f t="shared" si="88"/>
        <v>1.5236686390532546</v>
      </c>
      <c r="O437" s="22"/>
      <c r="P437" s="22"/>
      <c r="Q437" s="22"/>
      <c r="R437" s="22"/>
      <c r="S437" s="22"/>
    </row>
    <row r="438" spans="8:19" x14ac:dyDescent="0.15">
      <c r="H438" s="15">
        <v>21</v>
      </c>
      <c r="I438" s="15">
        <v>22</v>
      </c>
      <c r="J438" s="15">
        <f t="shared" si="92"/>
        <v>13</v>
      </c>
      <c r="K438" s="15">
        <f t="shared" si="91"/>
        <v>14</v>
      </c>
      <c r="L438" s="15">
        <v>-12.19</v>
      </c>
      <c r="M438" s="22">
        <v>6.6</v>
      </c>
      <c r="N438" s="15">
        <f t="shared" si="88"/>
        <v>1.8469696969696969</v>
      </c>
      <c r="O438" s="22"/>
      <c r="P438" s="22"/>
      <c r="Q438" s="22"/>
      <c r="R438" s="22"/>
      <c r="S438" s="22"/>
    </row>
    <row r="439" spans="8:19" x14ac:dyDescent="0.15">
      <c r="H439" s="15">
        <v>21</v>
      </c>
      <c r="I439" s="15">
        <v>22</v>
      </c>
      <c r="J439" s="15">
        <f t="shared" si="92"/>
        <v>14</v>
      </c>
      <c r="K439" s="15">
        <f t="shared" si="91"/>
        <v>15</v>
      </c>
      <c r="L439" s="15">
        <v>-13.09</v>
      </c>
      <c r="M439" s="22">
        <v>6.67</v>
      </c>
      <c r="N439" s="15">
        <f t="shared" si="88"/>
        <v>1.9625187406296851</v>
      </c>
      <c r="O439" s="22"/>
      <c r="P439" s="22"/>
      <c r="Q439" s="22"/>
      <c r="R439" s="22"/>
      <c r="S439" s="22"/>
    </row>
    <row r="440" spans="8:19" x14ac:dyDescent="0.15">
      <c r="H440" s="15">
        <v>21</v>
      </c>
      <c r="I440" s="15">
        <v>22</v>
      </c>
      <c r="J440" s="15">
        <f t="shared" si="92"/>
        <v>15</v>
      </c>
      <c r="K440" s="15">
        <f t="shared" si="91"/>
        <v>16</v>
      </c>
      <c r="L440" s="15">
        <v>-18.97</v>
      </c>
      <c r="M440" s="22">
        <v>6.6</v>
      </c>
      <c r="N440" s="15">
        <f t="shared" si="88"/>
        <v>2.874242424242424</v>
      </c>
      <c r="O440" s="22"/>
      <c r="P440" s="22"/>
      <c r="Q440" s="22"/>
      <c r="R440" s="22"/>
      <c r="S440" s="22"/>
    </row>
    <row r="441" spans="8:19" x14ac:dyDescent="0.15">
      <c r="H441" s="15">
        <v>21</v>
      </c>
      <c r="I441" s="15">
        <v>22</v>
      </c>
      <c r="J441" s="15">
        <f t="shared" si="92"/>
        <v>16</v>
      </c>
      <c r="K441" s="15">
        <f t="shared" si="91"/>
        <v>17</v>
      </c>
      <c r="L441" s="15">
        <v>-28.18</v>
      </c>
      <c r="M441" s="22">
        <v>6.63</v>
      </c>
      <c r="N441" s="15">
        <f t="shared" si="88"/>
        <v>4.2503770739064857</v>
      </c>
      <c r="O441" s="22"/>
      <c r="P441" s="22"/>
      <c r="Q441" s="22"/>
      <c r="R441" s="22"/>
      <c r="S441" s="22"/>
    </row>
    <row r="442" spans="8:19" x14ac:dyDescent="0.15">
      <c r="H442" s="15">
        <v>21</v>
      </c>
      <c r="I442" s="15">
        <v>22</v>
      </c>
      <c r="J442" s="15">
        <f t="shared" si="92"/>
        <v>17</v>
      </c>
      <c r="K442" s="15">
        <f t="shared" si="91"/>
        <v>18</v>
      </c>
      <c r="L442" s="15">
        <v>-54.9</v>
      </c>
      <c r="M442" s="22">
        <v>6.64</v>
      </c>
      <c r="N442" s="15">
        <f t="shared" si="88"/>
        <v>8.2680722891566258</v>
      </c>
      <c r="O442" s="22"/>
      <c r="P442" s="22"/>
      <c r="Q442" s="22"/>
      <c r="R442" s="22"/>
      <c r="S442" s="22"/>
    </row>
    <row r="443" spans="8:19" x14ac:dyDescent="0.15">
      <c r="H443" s="15">
        <v>21</v>
      </c>
      <c r="I443" s="15">
        <v>22</v>
      </c>
      <c r="J443" s="15">
        <f t="shared" si="92"/>
        <v>18</v>
      </c>
      <c r="K443" s="15">
        <f t="shared" si="91"/>
        <v>19</v>
      </c>
      <c r="L443" s="15">
        <v>-138.84</v>
      </c>
      <c r="M443" s="22">
        <v>6.56</v>
      </c>
      <c r="N443" s="15">
        <f t="shared" si="88"/>
        <v>21.164634146341466</v>
      </c>
      <c r="O443" s="22"/>
      <c r="P443" s="22"/>
      <c r="Q443" s="22"/>
      <c r="R443" s="22"/>
      <c r="S443" s="22"/>
    </row>
    <row r="444" spans="8:19" x14ac:dyDescent="0.15">
      <c r="H444" s="15">
        <v>21</v>
      </c>
      <c r="I444" s="15">
        <v>22</v>
      </c>
      <c r="J444" s="15">
        <f t="shared" si="92"/>
        <v>19</v>
      </c>
      <c r="K444" s="15">
        <f t="shared" si="91"/>
        <v>20</v>
      </c>
      <c r="L444" s="15">
        <v>-538.19000000000005</v>
      </c>
      <c r="M444" s="22">
        <v>6.58</v>
      </c>
      <c r="N444" s="15">
        <f t="shared" si="88"/>
        <v>81.791793313069917</v>
      </c>
      <c r="O444" s="22"/>
      <c r="P444" s="22"/>
      <c r="Q444" s="22"/>
      <c r="R444" s="22"/>
      <c r="S444" s="22"/>
    </row>
    <row r="445" spans="8:19" x14ac:dyDescent="0.15">
      <c r="H445" s="15">
        <v>22</v>
      </c>
      <c r="I445" s="15">
        <v>23</v>
      </c>
      <c r="J445" s="15">
        <f>I445+1</f>
        <v>24</v>
      </c>
      <c r="K445" s="15">
        <v>1</v>
      </c>
      <c r="L445" s="15">
        <v>-651.55999999999995</v>
      </c>
      <c r="M445" s="22">
        <v>8.5</v>
      </c>
      <c r="N445" s="15">
        <f t="shared" si="88"/>
        <v>76.654117647058811</v>
      </c>
      <c r="O445" s="22"/>
      <c r="P445" s="22"/>
      <c r="Q445" s="22"/>
      <c r="R445" s="22"/>
      <c r="S445" s="22"/>
    </row>
    <row r="446" spans="8:19" x14ac:dyDescent="0.15">
      <c r="H446" s="15">
        <v>22</v>
      </c>
      <c r="I446" s="15">
        <v>23</v>
      </c>
      <c r="J446" s="15">
        <v>1</v>
      </c>
      <c r="K446" s="15">
        <f t="shared" ref="K446:K465" si="93">K445+1</f>
        <v>2</v>
      </c>
      <c r="L446" s="15">
        <v>-189.21</v>
      </c>
      <c r="M446" s="22">
        <v>8.42</v>
      </c>
      <c r="N446" s="15">
        <f t="shared" si="88"/>
        <v>22.471496437054633</v>
      </c>
      <c r="O446" s="22"/>
      <c r="P446" s="22"/>
      <c r="Q446" s="22"/>
      <c r="R446" s="22"/>
      <c r="S446" s="22"/>
    </row>
    <row r="447" spans="8:19" x14ac:dyDescent="0.15">
      <c r="H447" s="15">
        <v>22</v>
      </c>
      <c r="I447" s="15">
        <v>23</v>
      </c>
      <c r="J447" s="15">
        <f t="shared" ref="J447:J465" si="94">J446+1</f>
        <v>2</v>
      </c>
      <c r="K447" s="15">
        <f t="shared" si="93"/>
        <v>3</v>
      </c>
      <c r="L447" s="15">
        <v>-69.31</v>
      </c>
      <c r="M447" s="22">
        <v>8.5399999999999991</v>
      </c>
      <c r="N447" s="15">
        <f t="shared" si="88"/>
        <v>8.1159250585480098</v>
      </c>
      <c r="O447" s="22"/>
      <c r="P447" s="22"/>
      <c r="Q447" s="22"/>
      <c r="R447" s="22"/>
      <c r="S447" s="22"/>
    </row>
    <row r="448" spans="8:19" x14ac:dyDescent="0.15">
      <c r="H448" s="15">
        <v>22</v>
      </c>
      <c r="I448" s="15">
        <v>23</v>
      </c>
      <c r="J448" s="15">
        <f t="shared" si="94"/>
        <v>3</v>
      </c>
      <c r="K448" s="15">
        <f t="shared" si="93"/>
        <v>4</v>
      </c>
      <c r="L448" s="15">
        <v>-40.36</v>
      </c>
      <c r="M448" s="22">
        <v>8.4700000000000006</v>
      </c>
      <c r="N448" s="15">
        <f t="shared" si="88"/>
        <v>4.7650531286894919</v>
      </c>
      <c r="O448" s="22"/>
      <c r="P448" s="22"/>
      <c r="Q448" s="22"/>
      <c r="R448" s="22"/>
      <c r="S448" s="22"/>
    </row>
    <row r="449" spans="8:19" x14ac:dyDescent="0.15">
      <c r="H449" s="15">
        <v>22</v>
      </c>
      <c r="I449" s="15">
        <v>23</v>
      </c>
      <c r="J449" s="15">
        <f t="shared" si="94"/>
        <v>4</v>
      </c>
      <c r="K449" s="15">
        <f t="shared" si="93"/>
        <v>5</v>
      </c>
      <c r="L449" s="15">
        <v>-29.17</v>
      </c>
      <c r="M449" s="22">
        <v>8.57</v>
      </c>
      <c r="N449" s="15">
        <f t="shared" si="88"/>
        <v>3.4037339556592765</v>
      </c>
      <c r="O449" s="22"/>
      <c r="P449" s="22"/>
      <c r="Q449" s="22"/>
      <c r="R449" s="22"/>
      <c r="S449" s="22"/>
    </row>
    <row r="450" spans="8:19" x14ac:dyDescent="0.15">
      <c r="H450" s="15">
        <v>22</v>
      </c>
      <c r="I450" s="15">
        <v>23</v>
      </c>
      <c r="J450" s="15">
        <f t="shared" si="94"/>
        <v>5</v>
      </c>
      <c r="K450" s="15">
        <f t="shared" si="93"/>
        <v>6</v>
      </c>
      <c r="L450" s="15">
        <v>-21.39</v>
      </c>
      <c r="M450" s="22">
        <v>8.5</v>
      </c>
      <c r="N450" s="15">
        <f t="shared" si="88"/>
        <v>2.5164705882352942</v>
      </c>
      <c r="O450" s="22"/>
      <c r="P450" s="22"/>
      <c r="Q450" s="22"/>
      <c r="R450" s="22"/>
      <c r="S450" s="22"/>
    </row>
    <row r="451" spans="8:19" x14ac:dyDescent="0.15">
      <c r="H451" s="15">
        <v>22</v>
      </c>
      <c r="I451" s="15">
        <v>23</v>
      </c>
      <c r="J451" s="15">
        <f t="shared" si="94"/>
        <v>6</v>
      </c>
      <c r="K451" s="15">
        <f t="shared" si="93"/>
        <v>7</v>
      </c>
      <c r="L451" s="15">
        <v>-19.100000000000001</v>
      </c>
      <c r="M451" s="22">
        <v>8.5399999999999991</v>
      </c>
      <c r="N451" s="15">
        <f t="shared" si="88"/>
        <v>2.2365339578454337</v>
      </c>
      <c r="O451" s="22"/>
      <c r="P451" s="22"/>
      <c r="Q451" s="22"/>
      <c r="R451" s="22"/>
      <c r="S451" s="22"/>
    </row>
    <row r="452" spans="8:19" x14ac:dyDescent="0.15">
      <c r="H452" s="15">
        <v>22</v>
      </c>
      <c r="I452" s="15">
        <v>23</v>
      </c>
      <c r="J452" s="15">
        <f t="shared" si="94"/>
        <v>7</v>
      </c>
      <c r="K452" s="15">
        <f t="shared" si="93"/>
        <v>8</v>
      </c>
      <c r="L452" s="15">
        <v>-17.329999999999998</v>
      </c>
      <c r="M452" s="22">
        <v>8.56</v>
      </c>
      <c r="N452" s="15">
        <f t="shared" si="88"/>
        <v>2.0245327102803734</v>
      </c>
      <c r="O452" s="22"/>
      <c r="P452" s="22"/>
      <c r="Q452" s="22"/>
      <c r="R452" s="22"/>
      <c r="S452" s="22"/>
    </row>
    <row r="453" spans="8:19" x14ac:dyDescent="0.15">
      <c r="H453" s="15">
        <v>22</v>
      </c>
      <c r="I453" s="15">
        <v>23</v>
      </c>
      <c r="J453" s="15">
        <f t="shared" si="94"/>
        <v>8</v>
      </c>
      <c r="K453" s="15">
        <f t="shared" si="93"/>
        <v>9</v>
      </c>
      <c r="L453" s="15">
        <v>-13.73</v>
      </c>
      <c r="M453" s="22">
        <v>8.9</v>
      </c>
      <c r="N453" s="15">
        <f t="shared" ref="N453:N507" si="95">-L453/M453</f>
        <v>1.5426966292134832</v>
      </c>
      <c r="O453" s="22"/>
      <c r="P453" s="22"/>
      <c r="Q453" s="22"/>
      <c r="R453" s="22"/>
      <c r="S453" s="22"/>
    </row>
    <row r="454" spans="8:19" x14ac:dyDescent="0.15">
      <c r="H454" s="15">
        <v>22</v>
      </c>
      <c r="I454" s="15">
        <v>23</v>
      </c>
      <c r="J454" s="15">
        <f t="shared" si="94"/>
        <v>9</v>
      </c>
      <c r="K454" s="15">
        <f t="shared" si="93"/>
        <v>10</v>
      </c>
      <c r="L454" s="15">
        <v>-12.28</v>
      </c>
      <c r="M454" s="22">
        <v>9.31</v>
      </c>
      <c r="N454" s="15">
        <f t="shared" si="95"/>
        <v>1.3190118152524166</v>
      </c>
      <c r="O454" s="22"/>
      <c r="P454" s="22"/>
      <c r="Q454" s="22"/>
      <c r="R454" s="22"/>
      <c r="S454" s="22"/>
    </row>
    <row r="455" spans="8:19" x14ac:dyDescent="0.15">
      <c r="H455" s="15">
        <v>22</v>
      </c>
      <c r="I455" s="15">
        <v>23</v>
      </c>
      <c r="J455" s="15">
        <f t="shared" si="94"/>
        <v>10</v>
      </c>
      <c r="K455" s="15">
        <f t="shared" si="93"/>
        <v>11</v>
      </c>
      <c r="L455" s="15">
        <v>-12.05</v>
      </c>
      <c r="M455" s="22">
        <v>9.32</v>
      </c>
      <c r="N455" s="15">
        <f t="shared" si="95"/>
        <v>1.2929184549356223</v>
      </c>
      <c r="O455" s="22"/>
      <c r="P455" s="22"/>
      <c r="Q455" s="22"/>
      <c r="R455" s="22"/>
      <c r="S455" s="22"/>
    </row>
    <row r="456" spans="8:19" x14ac:dyDescent="0.15">
      <c r="H456" s="15">
        <v>22</v>
      </c>
      <c r="I456" s="15">
        <v>23</v>
      </c>
      <c r="J456" s="15">
        <f t="shared" si="94"/>
        <v>11</v>
      </c>
      <c r="K456" s="15">
        <f t="shared" si="93"/>
        <v>12</v>
      </c>
      <c r="L456" s="15">
        <v>-12.63</v>
      </c>
      <c r="M456" s="22">
        <v>8.6199999999999992</v>
      </c>
      <c r="N456" s="15">
        <f t="shared" si="95"/>
        <v>1.4651972157772624</v>
      </c>
      <c r="O456" s="22"/>
      <c r="P456" s="22"/>
      <c r="Q456" s="22"/>
      <c r="R456" s="22"/>
      <c r="S456" s="22"/>
    </row>
    <row r="457" spans="8:19" x14ac:dyDescent="0.15">
      <c r="H457" s="15">
        <v>22</v>
      </c>
      <c r="I457" s="15">
        <v>23</v>
      </c>
      <c r="J457" s="15">
        <f t="shared" si="94"/>
        <v>12</v>
      </c>
      <c r="K457" s="15">
        <f t="shared" si="93"/>
        <v>13</v>
      </c>
      <c r="L457" s="15">
        <v>-12.76</v>
      </c>
      <c r="M457" s="22">
        <v>8.7200000000000006</v>
      </c>
      <c r="N457" s="15">
        <f t="shared" si="95"/>
        <v>1.4633027522935778</v>
      </c>
      <c r="O457" s="22"/>
      <c r="P457" s="22"/>
      <c r="Q457" s="22"/>
      <c r="R457" s="22"/>
      <c r="S457" s="22"/>
    </row>
    <row r="458" spans="8:19" x14ac:dyDescent="0.15">
      <c r="H458" s="15">
        <v>22</v>
      </c>
      <c r="I458" s="15">
        <v>23</v>
      </c>
      <c r="J458" s="15">
        <f t="shared" si="94"/>
        <v>13</v>
      </c>
      <c r="K458" s="15">
        <f t="shared" si="93"/>
        <v>14</v>
      </c>
      <c r="L458" s="15">
        <v>-13.74</v>
      </c>
      <c r="M458" s="22">
        <v>8.4600000000000009</v>
      </c>
      <c r="N458" s="15">
        <f t="shared" si="95"/>
        <v>1.6241134751773048</v>
      </c>
      <c r="O458" s="22"/>
      <c r="P458" s="22"/>
      <c r="Q458" s="22"/>
      <c r="R458" s="22"/>
      <c r="S458" s="22"/>
    </row>
    <row r="459" spans="8:19" x14ac:dyDescent="0.15">
      <c r="H459" s="15">
        <v>22</v>
      </c>
      <c r="I459" s="15">
        <v>23</v>
      </c>
      <c r="J459" s="15">
        <f t="shared" si="94"/>
        <v>14</v>
      </c>
      <c r="K459" s="15">
        <f t="shared" si="93"/>
        <v>15</v>
      </c>
      <c r="L459" s="15">
        <v>-14.05</v>
      </c>
      <c r="M459" s="22">
        <v>8.6</v>
      </c>
      <c r="N459" s="15">
        <f t="shared" si="95"/>
        <v>1.6337209302325584</v>
      </c>
      <c r="O459" s="22"/>
      <c r="P459" s="22"/>
      <c r="Q459" s="22"/>
      <c r="R459" s="22"/>
      <c r="S459" s="22"/>
    </row>
    <row r="460" spans="8:19" x14ac:dyDescent="0.15">
      <c r="H460" s="15">
        <v>22</v>
      </c>
      <c r="I460" s="15">
        <v>23</v>
      </c>
      <c r="J460" s="15">
        <f t="shared" si="94"/>
        <v>15</v>
      </c>
      <c r="K460" s="15">
        <f t="shared" si="93"/>
        <v>16</v>
      </c>
      <c r="L460" s="15">
        <v>-19.04</v>
      </c>
      <c r="M460" s="22">
        <v>8.6199999999999992</v>
      </c>
      <c r="N460" s="15">
        <f t="shared" si="95"/>
        <v>2.2088167053364272</v>
      </c>
      <c r="O460" s="22"/>
      <c r="P460" s="22"/>
      <c r="Q460" s="22"/>
      <c r="R460" s="22"/>
      <c r="S460" s="22"/>
    </row>
    <row r="461" spans="8:19" x14ac:dyDescent="0.15">
      <c r="H461" s="15">
        <v>22</v>
      </c>
      <c r="I461" s="15">
        <v>23</v>
      </c>
      <c r="J461" s="15">
        <f t="shared" si="94"/>
        <v>16</v>
      </c>
      <c r="K461" s="15">
        <f t="shared" si="93"/>
        <v>17</v>
      </c>
      <c r="L461" s="15">
        <v>-24.11</v>
      </c>
      <c r="M461" s="22">
        <v>8.7200000000000006</v>
      </c>
      <c r="N461" s="15">
        <f t="shared" si="95"/>
        <v>2.7649082568807337</v>
      </c>
      <c r="O461" s="22"/>
      <c r="P461" s="22"/>
      <c r="Q461" s="22"/>
      <c r="R461" s="22"/>
      <c r="S461" s="22"/>
    </row>
    <row r="462" spans="8:19" x14ac:dyDescent="0.15">
      <c r="H462" s="15">
        <v>22</v>
      </c>
      <c r="I462" s="15">
        <v>23</v>
      </c>
      <c r="J462" s="15">
        <f t="shared" si="94"/>
        <v>17</v>
      </c>
      <c r="K462" s="15">
        <f t="shared" si="93"/>
        <v>18</v>
      </c>
      <c r="L462" s="15">
        <v>-39.19</v>
      </c>
      <c r="M462" s="22">
        <v>8.64</v>
      </c>
      <c r="N462" s="15">
        <f t="shared" si="95"/>
        <v>4.5358796296296289</v>
      </c>
      <c r="O462" s="22"/>
      <c r="P462" s="22"/>
      <c r="Q462" s="22"/>
      <c r="R462" s="22"/>
      <c r="S462" s="22"/>
    </row>
    <row r="463" spans="8:19" x14ac:dyDescent="0.15">
      <c r="H463" s="15">
        <v>22</v>
      </c>
      <c r="I463" s="15">
        <v>23</v>
      </c>
      <c r="J463" s="15">
        <f t="shared" si="94"/>
        <v>18</v>
      </c>
      <c r="K463" s="15">
        <f t="shared" si="93"/>
        <v>19</v>
      </c>
      <c r="L463" s="15">
        <v>78.239999999999995</v>
      </c>
      <c r="M463" s="22">
        <v>8.7799999999999994</v>
      </c>
      <c r="N463" s="15">
        <f t="shared" si="95"/>
        <v>-8.9111617312072902</v>
      </c>
      <c r="O463" s="22"/>
      <c r="P463" s="22"/>
      <c r="Q463" s="22"/>
      <c r="R463" s="22"/>
      <c r="S463" s="22"/>
    </row>
    <row r="464" spans="8:19" x14ac:dyDescent="0.15">
      <c r="H464" s="15">
        <v>22</v>
      </c>
      <c r="I464" s="15">
        <v>23</v>
      </c>
      <c r="J464" s="15">
        <f t="shared" si="94"/>
        <v>19</v>
      </c>
      <c r="K464" s="15">
        <f t="shared" si="93"/>
        <v>20</v>
      </c>
      <c r="L464" s="15">
        <v>-178.91</v>
      </c>
      <c r="M464" s="22">
        <v>8.4499999999999993</v>
      </c>
      <c r="N464" s="15">
        <f t="shared" si="95"/>
        <v>21.17278106508876</v>
      </c>
      <c r="O464" s="22"/>
      <c r="P464" s="22"/>
      <c r="Q464" s="22"/>
      <c r="R464" s="22"/>
      <c r="S464" s="22"/>
    </row>
    <row r="465" spans="8:19" x14ac:dyDescent="0.15">
      <c r="H465" s="15">
        <v>22</v>
      </c>
      <c r="I465" s="15">
        <v>23</v>
      </c>
      <c r="J465" s="15">
        <f t="shared" si="94"/>
        <v>20</v>
      </c>
      <c r="K465" s="15">
        <f t="shared" si="93"/>
        <v>21</v>
      </c>
      <c r="L465" s="15">
        <v>-687.56</v>
      </c>
      <c r="M465" s="22">
        <v>8.84</v>
      </c>
      <c r="N465" s="15">
        <f t="shared" si="95"/>
        <v>77.778280542986423</v>
      </c>
      <c r="O465" s="22"/>
      <c r="P465" s="22"/>
      <c r="Q465" s="22"/>
      <c r="R465" s="22"/>
      <c r="S465" s="22"/>
    </row>
    <row r="466" spans="8:19" x14ac:dyDescent="0.15">
      <c r="H466" s="15">
        <v>23</v>
      </c>
      <c r="I466" s="15">
        <v>24</v>
      </c>
      <c r="J466" s="15">
        <v>1</v>
      </c>
      <c r="K466" s="15">
        <v>2</v>
      </c>
      <c r="L466" s="15">
        <v>-655.28</v>
      </c>
      <c r="M466" s="22">
        <v>8.27</v>
      </c>
      <c r="N466" s="15">
        <f t="shared" si="95"/>
        <v>79.235792019347045</v>
      </c>
      <c r="O466" s="22"/>
      <c r="P466" s="22"/>
      <c r="Q466" s="22"/>
      <c r="R466" s="22"/>
      <c r="S466" s="22"/>
    </row>
    <row r="467" spans="8:19" x14ac:dyDescent="0.15">
      <c r="H467" s="15">
        <v>23</v>
      </c>
      <c r="I467" s="15">
        <v>24</v>
      </c>
      <c r="J467" s="15">
        <f t="shared" ref="J467:K486" si="96">J466+1</f>
        <v>2</v>
      </c>
      <c r="K467" s="15">
        <f t="shared" si="96"/>
        <v>3</v>
      </c>
      <c r="L467" s="15">
        <v>-145.12</v>
      </c>
      <c r="M467" s="22">
        <v>8.4499999999999993</v>
      </c>
      <c r="N467" s="15">
        <f t="shared" si="95"/>
        <v>17.173964497041421</v>
      </c>
      <c r="O467" s="22"/>
      <c r="P467" s="22"/>
      <c r="Q467" s="22"/>
      <c r="R467" s="22"/>
      <c r="S467" s="22"/>
    </row>
    <row r="468" spans="8:19" x14ac:dyDescent="0.15">
      <c r="H468" s="15">
        <v>23</v>
      </c>
      <c r="I468" s="15">
        <v>24</v>
      </c>
      <c r="J468" s="15">
        <f t="shared" si="96"/>
        <v>3</v>
      </c>
      <c r="K468" s="15">
        <f t="shared" si="96"/>
        <v>4</v>
      </c>
      <c r="L468" s="15">
        <v>-61.82</v>
      </c>
      <c r="M468" s="22">
        <v>8.19</v>
      </c>
      <c r="N468" s="15">
        <f t="shared" si="95"/>
        <v>7.5482295482295489</v>
      </c>
      <c r="O468" s="22"/>
      <c r="P468" s="22"/>
      <c r="Q468" s="22"/>
      <c r="R468" s="22"/>
      <c r="S468" s="22"/>
    </row>
    <row r="469" spans="8:19" x14ac:dyDescent="0.15">
      <c r="H469" s="15">
        <v>23</v>
      </c>
      <c r="I469" s="15">
        <v>24</v>
      </c>
      <c r="J469" s="15">
        <f t="shared" si="96"/>
        <v>4</v>
      </c>
      <c r="K469" s="15">
        <f t="shared" si="96"/>
        <v>5</v>
      </c>
      <c r="L469" s="15">
        <v>-35.909999999999997</v>
      </c>
      <c r="M469" s="22">
        <v>8.1999999999999993</v>
      </c>
      <c r="N469" s="15">
        <f t="shared" si="95"/>
        <v>4.3792682926829265</v>
      </c>
      <c r="O469" s="22"/>
      <c r="P469" s="22"/>
      <c r="Q469" s="22"/>
      <c r="R469" s="22"/>
      <c r="S469" s="22"/>
    </row>
    <row r="470" spans="8:19" x14ac:dyDescent="0.15">
      <c r="H470" s="15">
        <v>23</v>
      </c>
      <c r="I470" s="15">
        <v>24</v>
      </c>
      <c r="J470" s="15">
        <f t="shared" si="96"/>
        <v>5</v>
      </c>
      <c r="K470" s="15">
        <f t="shared" si="96"/>
        <v>6</v>
      </c>
      <c r="L470" s="15">
        <v>-22.18</v>
      </c>
      <c r="M470" s="22">
        <v>8.2100000000000009</v>
      </c>
      <c r="N470" s="15">
        <f t="shared" si="95"/>
        <v>2.7015834348355661</v>
      </c>
      <c r="O470" s="22"/>
      <c r="P470" s="22"/>
      <c r="Q470" s="22"/>
      <c r="R470" s="22"/>
      <c r="S470" s="22"/>
    </row>
    <row r="471" spans="8:19" x14ac:dyDescent="0.15">
      <c r="H471" s="15">
        <v>23</v>
      </c>
      <c r="I471" s="15">
        <v>24</v>
      </c>
      <c r="J471" s="15">
        <f t="shared" si="96"/>
        <v>6</v>
      </c>
      <c r="K471" s="15">
        <f t="shared" si="96"/>
        <v>7</v>
      </c>
      <c r="L471" s="15">
        <v>-17.14</v>
      </c>
      <c r="M471" s="22">
        <v>8.2200000000000006</v>
      </c>
      <c r="N471" s="15">
        <f t="shared" si="95"/>
        <v>2.0851581508515813</v>
      </c>
      <c r="O471" s="22"/>
      <c r="P471" s="22"/>
      <c r="Q471" s="22"/>
      <c r="R471" s="22"/>
      <c r="S471" s="22"/>
    </row>
    <row r="472" spans="8:19" x14ac:dyDescent="0.15">
      <c r="H472" s="15">
        <v>23</v>
      </c>
      <c r="I472" s="15">
        <v>24</v>
      </c>
      <c r="J472" s="15">
        <f t="shared" si="96"/>
        <v>7</v>
      </c>
      <c r="K472" s="15">
        <f t="shared" si="96"/>
        <v>8</v>
      </c>
      <c r="L472" s="15">
        <v>-14.87</v>
      </c>
      <c r="M472" s="22">
        <v>8.25</v>
      </c>
      <c r="N472" s="15">
        <f t="shared" si="95"/>
        <v>1.8024242424242423</v>
      </c>
      <c r="O472" s="22"/>
      <c r="P472" s="22"/>
      <c r="Q472" s="22"/>
      <c r="R472" s="22"/>
      <c r="S472" s="22"/>
    </row>
    <row r="473" spans="8:19" x14ac:dyDescent="0.15">
      <c r="H473" s="15">
        <v>23</v>
      </c>
      <c r="I473" s="15">
        <v>24</v>
      </c>
      <c r="J473" s="15">
        <f t="shared" si="96"/>
        <v>8</v>
      </c>
      <c r="K473" s="15">
        <f t="shared" si="96"/>
        <v>9</v>
      </c>
      <c r="L473" s="15">
        <v>-12.36</v>
      </c>
      <c r="M473" s="22">
        <v>8.48</v>
      </c>
      <c r="N473" s="15">
        <f t="shared" si="95"/>
        <v>1.4575471698113207</v>
      </c>
      <c r="O473" s="22"/>
      <c r="P473" s="22"/>
      <c r="Q473" s="22"/>
      <c r="R473" s="22"/>
      <c r="S473" s="22"/>
    </row>
    <row r="474" spans="8:19" x14ac:dyDescent="0.15">
      <c r="H474" s="15">
        <v>23</v>
      </c>
      <c r="I474" s="15">
        <v>24</v>
      </c>
      <c r="J474" s="15">
        <f t="shared" si="96"/>
        <v>9</v>
      </c>
      <c r="K474" s="15">
        <f t="shared" si="96"/>
        <v>10</v>
      </c>
      <c r="L474" s="15">
        <v>-10.63</v>
      </c>
      <c r="M474" s="22">
        <v>8.41</v>
      </c>
      <c r="N474" s="15">
        <f t="shared" si="95"/>
        <v>1.2639714625445899</v>
      </c>
      <c r="O474" s="22"/>
      <c r="P474" s="22"/>
      <c r="Q474" s="22"/>
      <c r="R474" s="22"/>
      <c r="S474" s="22"/>
    </row>
    <row r="475" spans="8:19" x14ac:dyDescent="0.15">
      <c r="H475" s="15">
        <v>23</v>
      </c>
      <c r="I475" s="15">
        <v>24</v>
      </c>
      <c r="J475" s="15">
        <f t="shared" si="96"/>
        <v>10</v>
      </c>
      <c r="K475" s="15">
        <f t="shared" si="96"/>
        <v>11</v>
      </c>
      <c r="L475" s="15">
        <v>-9.4499999999999993</v>
      </c>
      <c r="M475" s="22">
        <v>8.17</v>
      </c>
      <c r="N475" s="15">
        <f t="shared" si="95"/>
        <v>1.1566707466340269</v>
      </c>
      <c r="O475" s="22"/>
      <c r="P475" s="22"/>
      <c r="Q475" s="22"/>
      <c r="R475" s="22"/>
      <c r="S475" s="22"/>
    </row>
    <row r="476" spans="8:19" x14ac:dyDescent="0.15">
      <c r="H476" s="15">
        <v>23</v>
      </c>
      <c r="I476" s="15">
        <v>24</v>
      </c>
      <c r="J476" s="15">
        <f t="shared" si="96"/>
        <v>11</v>
      </c>
      <c r="K476" s="15">
        <f t="shared" si="96"/>
        <v>12</v>
      </c>
      <c r="L476" s="15">
        <v>-10.75</v>
      </c>
      <c r="M476" s="22">
        <v>8.75</v>
      </c>
      <c r="N476" s="15">
        <f t="shared" si="95"/>
        <v>1.2285714285714286</v>
      </c>
      <c r="O476" s="22"/>
      <c r="P476" s="22"/>
      <c r="Q476" s="22"/>
      <c r="R476" s="22"/>
      <c r="S476" s="22"/>
    </row>
    <row r="477" spans="8:19" x14ac:dyDescent="0.15">
      <c r="H477" s="15">
        <v>23</v>
      </c>
      <c r="I477" s="15">
        <v>24</v>
      </c>
      <c r="J477" s="15">
        <f t="shared" si="96"/>
        <v>12</v>
      </c>
      <c r="K477" s="15">
        <f t="shared" si="96"/>
        <v>13</v>
      </c>
      <c r="L477" s="15">
        <v>-9.81</v>
      </c>
      <c r="M477" s="22">
        <v>8.42</v>
      </c>
      <c r="N477" s="15">
        <f t="shared" si="95"/>
        <v>1.165083135391924</v>
      </c>
      <c r="O477" s="22"/>
      <c r="P477" s="22"/>
      <c r="Q477" s="22"/>
      <c r="R477" s="22"/>
      <c r="S477" s="22"/>
    </row>
    <row r="478" spans="8:19" x14ac:dyDescent="0.15">
      <c r="H478" s="15">
        <v>23</v>
      </c>
      <c r="I478" s="15">
        <v>24</v>
      </c>
      <c r="J478" s="15">
        <f t="shared" si="96"/>
        <v>13</v>
      </c>
      <c r="K478" s="15">
        <f t="shared" si="96"/>
        <v>14</v>
      </c>
      <c r="L478" s="15">
        <v>-9.31</v>
      </c>
      <c r="M478" s="22">
        <v>8.2100000000000009</v>
      </c>
      <c r="N478" s="15">
        <f t="shared" si="95"/>
        <v>1.1339829476248477</v>
      </c>
      <c r="O478" s="22"/>
      <c r="P478" s="22"/>
      <c r="Q478" s="22"/>
      <c r="R478" s="22"/>
      <c r="S478" s="22"/>
    </row>
    <row r="479" spans="8:19" x14ac:dyDescent="0.15">
      <c r="H479" s="15">
        <v>23</v>
      </c>
      <c r="I479" s="15">
        <v>24</v>
      </c>
      <c r="J479" s="15">
        <f t="shared" si="96"/>
        <v>14</v>
      </c>
      <c r="K479" s="15">
        <f t="shared" si="96"/>
        <v>15</v>
      </c>
      <c r="L479" s="15">
        <v>-9.85</v>
      </c>
      <c r="M479" s="22">
        <v>8.0399999999999991</v>
      </c>
      <c r="N479" s="15">
        <f t="shared" si="95"/>
        <v>1.2251243781094527</v>
      </c>
      <c r="O479" s="22"/>
      <c r="P479" s="22"/>
      <c r="Q479" s="22"/>
      <c r="R479" s="22"/>
      <c r="S479" s="22"/>
    </row>
    <row r="480" spans="8:19" x14ac:dyDescent="0.15">
      <c r="H480" s="15">
        <v>23</v>
      </c>
      <c r="I480" s="15">
        <v>24</v>
      </c>
      <c r="J480" s="15">
        <f t="shared" si="96"/>
        <v>15</v>
      </c>
      <c r="K480" s="15">
        <f t="shared" si="96"/>
        <v>16</v>
      </c>
      <c r="L480" s="15">
        <v>-11.91</v>
      </c>
      <c r="M480" s="22">
        <v>8.07</v>
      </c>
      <c r="N480" s="15">
        <f t="shared" si="95"/>
        <v>1.4758364312267658</v>
      </c>
      <c r="O480" s="22"/>
      <c r="P480" s="22"/>
      <c r="Q480" s="22"/>
      <c r="R480" s="22"/>
      <c r="S480" s="22"/>
    </row>
    <row r="481" spans="8:19" x14ac:dyDescent="0.15">
      <c r="H481" s="15">
        <v>23</v>
      </c>
      <c r="I481" s="15">
        <v>24</v>
      </c>
      <c r="J481" s="15">
        <f t="shared" si="96"/>
        <v>16</v>
      </c>
      <c r="K481" s="15">
        <f t="shared" si="96"/>
        <v>17</v>
      </c>
      <c r="L481" s="15">
        <v>-14.85</v>
      </c>
      <c r="M481" s="22">
        <v>8.08</v>
      </c>
      <c r="N481" s="15">
        <f t="shared" si="95"/>
        <v>1.8378712871287128</v>
      </c>
      <c r="O481" s="22"/>
      <c r="P481" s="22"/>
      <c r="Q481" s="22"/>
      <c r="R481" s="22"/>
      <c r="S481" s="22"/>
    </row>
    <row r="482" spans="8:19" x14ac:dyDescent="0.15">
      <c r="H482" s="15">
        <v>23</v>
      </c>
      <c r="I482" s="15">
        <v>24</v>
      </c>
      <c r="J482" s="15">
        <f t="shared" si="96"/>
        <v>17</v>
      </c>
      <c r="K482" s="15">
        <f t="shared" si="96"/>
        <v>18</v>
      </c>
      <c r="L482" s="15">
        <v>-21.65</v>
      </c>
      <c r="M482" s="22">
        <v>8.25</v>
      </c>
      <c r="N482" s="15">
        <f t="shared" si="95"/>
        <v>2.624242424242424</v>
      </c>
      <c r="O482" s="22"/>
      <c r="P482" s="22"/>
      <c r="Q482" s="22"/>
      <c r="R482" s="22"/>
      <c r="S482" s="22"/>
    </row>
    <row r="483" spans="8:19" x14ac:dyDescent="0.15">
      <c r="H483" s="15">
        <v>23</v>
      </c>
      <c r="I483" s="15">
        <v>24</v>
      </c>
      <c r="J483" s="15">
        <f t="shared" si="96"/>
        <v>18</v>
      </c>
      <c r="K483" s="15">
        <f t="shared" si="96"/>
        <v>19</v>
      </c>
      <c r="L483" s="15">
        <v>-34.97</v>
      </c>
      <c r="M483" s="22">
        <v>8.14</v>
      </c>
      <c r="N483" s="15">
        <f t="shared" si="95"/>
        <v>4.2960687960687958</v>
      </c>
      <c r="O483" s="22"/>
      <c r="P483" s="22"/>
      <c r="Q483" s="22"/>
      <c r="R483" s="22"/>
      <c r="S483" s="22"/>
    </row>
    <row r="484" spans="8:19" x14ac:dyDescent="0.15">
      <c r="H484" s="15">
        <v>23</v>
      </c>
      <c r="I484" s="15">
        <v>24</v>
      </c>
      <c r="J484" s="15">
        <f t="shared" si="96"/>
        <v>19</v>
      </c>
      <c r="K484" s="15">
        <f t="shared" si="96"/>
        <v>20</v>
      </c>
      <c r="L484" s="15">
        <v>-64.59</v>
      </c>
      <c r="M484" s="22">
        <v>8.18</v>
      </c>
      <c r="N484" s="15">
        <f t="shared" si="95"/>
        <v>7.8960880195599028</v>
      </c>
      <c r="O484" s="22"/>
      <c r="P484" s="22"/>
      <c r="Q484" s="22"/>
      <c r="R484" s="22"/>
      <c r="S484" s="22"/>
    </row>
    <row r="485" spans="8:19" x14ac:dyDescent="0.15">
      <c r="H485" s="15">
        <v>23</v>
      </c>
      <c r="I485" s="15">
        <v>24</v>
      </c>
      <c r="J485" s="15">
        <f t="shared" si="96"/>
        <v>20</v>
      </c>
      <c r="K485" s="15">
        <f t="shared" si="96"/>
        <v>21</v>
      </c>
      <c r="L485" s="15">
        <v>-147.97999999999999</v>
      </c>
      <c r="M485" s="22">
        <v>8.1300000000000008</v>
      </c>
      <c r="N485" s="15">
        <f t="shared" si="95"/>
        <v>18.20172201722017</v>
      </c>
      <c r="O485" s="22"/>
      <c r="P485" s="22"/>
      <c r="Q485" s="22"/>
      <c r="R485" s="22"/>
      <c r="S485" s="22"/>
    </row>
    <row r="486" spans="8:19" x14ac:dyDescent="0.15">
      <c r="H486" s="15">
        <v>23</v>
      </c>
      <c r="I486" s="15">
        <v>24</v>
      </c>
      <c r="J486" s="15">
        <f t="shared" si="96"/>
        <v>21</v>
      </c>
      <c r="K486" s="15">
        <f t="shared" si="96"/>
        <v>22</v>
      </c>
      <c r="L486" s="15">
        <v>-604.86</v>
      </c>
      <c r="M486" s="22">
        <v>8.3000000000000007</v>
      </c>
      <c r="N486" s="15">
        <f t="shared" si="95"/>
        <v>72.87469879518072</v>
      </c>
      <c r="O486" s="22"/>
      <c r="P486" s="22"/>
      <c r="Q486" s="22"/>
      <c r="R486" s="22"/>
      <c r="S486" s="22"/>
    </row>
    <row r="487" spans="8:19" x14ac:dyDescent="0.15">
      <c r="H487" s="15">
        <v>24</v>
      </c>
      <c r="I487" s="15">
        <v>1</v>
      </c>
      <c r="J487" s="15">
        <f>I487+1</f>
        <v>2</v>
      </c>
      <c r="K487" s="15">
        <f>J487+1</f>
        <v>3</v>
      </c>
      <c r="L487" s="15">
        <v>-485.31</v>
      </c>
      <c r="M487" s="22">
        <v>7.81</v>
      </c>
      <c r="N487" s="15">
        <f t="shared" si="95"/>
        <v>62.139564660691427</v>
      </c>
      <c r="O487" s="22"/>
      <c r="P487" s="22"/>
      <c r="Q487" s="22"/>
      <c r="R487" s="22"/>
      <c r="S487" s="22"/>
    </row>
    <row r="488" spans="8:19" x14ac:dyDescent="0.15">
      <c r="H488" s="15">
        <v>24</v>
      </c>
      <c r="I488" s="15">
        <v>1</v>
      </c>
      <c r="J488" s="15">
        <f t="shared" ref="J488:K507" si="97">J487+1</f>
        <v>3</v>
      </c>
      <c r="K488" s="15">
        <f t="shared" si="97"/>
        <v>4</v>
      </c>
      <c r="L488" s="15">
        <v>-139.84</v>
      </c>
      <c r="M488" s="22">
        <v>7.76</v>
      </c>
      <c r="N488" s="15">
        <f t="shared" si="95"/>
        <v>18.020618556701031</v>
      </c>
      <c r="O488" s="22"/>
      <c r="P488" s="22"/>
      <c r="Q488" s="22"/>
      <c r="R488" s="22"/>
      <c r="S488" s="22"/>
    </row>
    <row r="489" spans="8:19" x14ac:dyDescent="0.15">
      <c r="H489" s="15">
        <v>24</v>
      </c>
      <c r="I489" s="15">
        <v>1</v>
      </c>
      <c r="J489" s="15">
        <f t="shared" si="97"/>
        <v>4</v>
      </c>
      <c r="K489" s="15">
        <f t="shared" si="97"/>
        <v>5</v>
      </c>
      <c r="L489" s="15">
        <v>-63.08</v>
      </c>
      <c r="M489" s="22">
        <v>7.77</v>
      </c>
      <c r="N489" s="15">
        <f t="shared" si="95"/>
        <v>8.1184041184041185</v>
      </c>
      <c r="O489" s="22"/>
      <c r="P489" s="22"/>
      <c r="Q489" s="22"/>
      <c r="R489" s="22"/>
      <c r="S489" s="22"/>
    </row>
    <row r="490" spans="8:19" x14ac:dyDescent="0.15">
      <c r="H490" s="15">
        <v>24</v>
      </c>
      <c r="I490" s="15">
        <v>1</v>
      </c>
      <c r="J490" s="15">
        <f t="shared" si="97"/>
        <v>5</v>
      </c>
      <c r="K490" s="15">
        <f t="shared" si="97"/>
        <v>6</v>
      </c>
      <c r="L490" s="15">
        <v>-35.369999999999997</v>
      </c>
      <c r="M490" s="22">
        <v>7.91</v>
      </c>
      <c r="N490" s="15">
        <f t="shared" si="95"/>
        <v>4.471554993678887</v>
      </c>
      <c r="O490" s="22"/>
      <c r="P490" s="22"/>
      <c r="Q490" s="22"/>
      <c r="R490" s="22"/>
      <c r="S490" s="22"/>
    </row>
    <row r="491" spans="8:19" x14ac:dyDescent="0.15">
      <c r="H491" s="15">
        <v>24</v>
      </c>
      <c r="I491" s="15">
        <v>1</v>
      </c>
      <c r="J491" s="15">
        <f t="shared" si="97"/>
        <v>6</v>
      </c>
      <c r="K491" s="15">
        <f t="shared" si="97"/>
        <v>7</v>
      </c>
      <c r="L491" s="15">
        <v>-25.44</v>
      </c>
      <c r="M491" s="22">
        <v>7.67</v>
      </c>
      <c r="N491" s="15">
        <f t="shared" si="95"/>
        <v>3.3168187744458932</v>
      </c>
      <c r="O491" s="22"/>
      <c r="P491" s="22"/>
      <c r="Q491" s="22"/>
      <c r="R491" s="22"/>
      <c r="S491" s="22"/>
    </row>
    <row r="492" spans="8:19" x14ac:dyDescent="0.15">
      <c r="H492" s="15">
        <v>24</v>
      </c>
      <c r="I492" s="15">
        <v>1</v>
      </c>
      <c r="J492" s="15">
        <f t="shared" si="97"/>
        <v>7</v>
      </c>
      <c r="K492" s="15">
        <f t="shared" si="97"/>
        <v>8</v>
      </c>
      <c r="L492" s="15">
        <v>-21.32</v>
      </c>
      <c r="M492" s="22">
        <v>7.75</v>
      </c>
      <c r="N492" s="15">
        <f t="shared" si="95"/>
        <v>2.7509677419354839</v>
      </c>
      <c r="O492" s="22"/>
      <c r="P492" s="22"/>
      <c r="Q492" s="22"/>
      <c r="R492" s="22"/>
      <c r="S492" s="22"/>
    </row>
    <row r="493" spans="8:19" x14ac:dyDescent="0.15">
      <c r="H493" s="15">
        <v>24</v>
      </c>
      <c r="I493" s="15">
        <v>1</v>
      </c>
      <c r="J493" s="15">
        <f t="shared" si="97"/>
        <v>8</v>
      </c>
      <c r="K493" s="15">
        <f t="shared" si="97"/>
        <v>9</v>
      </c>
      <c r="L493" s="15">
        <v>-14.87</v>
      </c>
      <c r="M493" s="22">
        <v>7.72</v>
      </c>
      <c r="N493" s="15">
        <f t="shared" si="95"/>
        <v>1.9261658031088082</v>
      </c>
      <c r="O493" s="22"/>
      <c r="P493" s="22"/>
      <c r="Q493" s="22"/>
      <c r="R493" s="22"/>
      <c r="S493" s="22"/>
    </row>
    <row r="494" spans="8:19" x14ac:dyDescent="0.15">
      <c r="H494" s="15">
        <v>24</v>
      </c>
      <c r="I494" s="15">
        <v>1</v>
      </c>
      <c r="J494" s="15">
        <f t="shared" si="97"/>
        <v>9</v>
      </c>
      <c r="K494" s="15">
        <f t="shared" si="97"/>
        <v>10</v>
      </c>
      <c r="L494" s="22">
        <v>-10.81</v>
      </c>
      <c r="M494" s="22">
        <v>7.67</v>
      </c>
      <c r="N494" s="15">
        <f t="shared" si="95"/>
        <v>1.4093872229465449</v>
      </c>
      <c r="O494" s="22"/>
      <c r="P494" s="22"/>
      <c r="Q494" s="22"/>
      <c r="R494" s="22"/>
      <c r="S494" s="22"/>
    </row>
    <row r="495" spans="8:19" x14ac:dyDescent="0.15">
      <c r="H495" s="15">
        <v>24</v>
      </c>
      <c r="I495" s="15">
        <v>1</v>
      </c>
      <c r="J495" s="15">
        <f t="shared" si="97"/>
        <v>10</v>
      </c>
      <c r="K495" s="15">
        <f t="shared" si="97"/>
        <v>11</v>
      </c>
      <c r="L495" s="22">
        <v>-10.51</v>
      </c>
      <c r="M495" s="22">
        <v>7.61</v>
      </c>
      <c r="N495" s="15">
        <f t="shared" si="95"/>
        <v>1.38107752956636</v>
      </c>
      <c r="O495" s="22"/>
      <c r="P495" s="22"/>
      <c r="Q495" s="22"/>
      <c r="R495" s="22"/>
      <c r="S495" s="22"/>
    </row>
    <row r="496" spans="8:19" x14ac:dyDescent="0.15">
      <c r="H496" s="15">
        <v>24</v>
      </c>
      <c r="I496" s="15">
        <v>1</v>
      </c>
      <c r="J496" s="15">
        <f t="shared" si="97"/>
        <v>11</v>
      </c>
      <c r="K496" s="15">
        <f t="shared" si="97"/>
        <v>12</v>
      </c>
      <c r="L496" s="15">
        <v>-13.77</v>
      </c>
      <c r="M496" s="22">
        <v>7.71</v>
      </c>
      <c r="N496" s="15">
        <f t="shared" si="95"/>
        <v>1.7859922178988326</v>
      </c>
      <c r="O496" s="22"/>
      <c r="P496" s="22"/>
      <c r="Q496" s="22"/>
      <c r="R496" s="22"/>
      <c r="S496" s="22"/>
    </row>
    <row r="497" spans="8:19" x14ac:dyDescent="0.15">
      <c r="H497" s="15">
        <v>24</v>
      </c>
      <c r="I497" s="15">
        <v>1</v>
      </c>
      <c r="J497" s="15">
        <f t="shared" si="97"/>
        <v>12</v>
      </c>
      <c r="K497" s="15">
        <f t="shared" si="97"/>
        <v>13</v>
      </c>
      <c r="L497" s="15">
        <v>-11.98</v>
      </c>
      <c r="M497" s="22">
        <v>8.0500000000000007</v>
      </c>
      <c r="N497" s="15">
        <f t="shared" si="95"/>
        <v>1.488198757763975</v>
      </c>
      <c r="O497" s="22"/>
      <c r="P497" s="22"/>
      <c r="Q497" s="22"/>
      <c r="R497" s="22"/>
      <c r="S497" s="22"/>
    </row>
    <row r="498" spans="8:19" x14ac:dyDescent="0.15">
      <c r="H498" s="15">
        <v>24</v>
      </c>
      <c r="I498" s="15">
        <v>1</v>
      </c>
      <c r="J498" s="15">
        <f t="shared" si="97"/>
        <v>13</v>
      </c>
      <c r="K498" s="15">
        <f t="shared" si="97"/>
        <v>14</v>
      </c>
      <c r="L498" s="15">
        <v>-13.21</v>
      </c>
      <c r="M498" s="22">
        <v>7.87</v>
      </c>
      <c r="N498" s="15">
        <f t="shared" si="95"/>
        <v>1.6785260482846251</v>
      </c>
      <c r="O498" s="22"/>
      <c r="P498" s="22"/>
      <c r="Q498" s="22"/>
      <c r="R498" s="22"/>
      <c r="S498" s="22"/>
    </row>
    <row r="499" spans="8:19" x14ac:dyDescent="0.15">
      <c r="H499" s="15">
        <v>24</v>
      </c>
      <c r="I499" s="15">
        <v>1</v>
      </c>
      <c r="J499" s="15">
        <f t="shared" si="97"/>
        <v>14</v>
      </c>
      <c r="K499" s="15">
        <f t="shared" si="97"/>
        <v>15</v>
      </c>
      <c r="L499" s="15">
        <v>-10.54</v>
      </c>
      <c r="M499" s="22">
        <v>8.0500000000000007</v>
      </c>
      <c r="N499" s="15">
        <f t="shared" si="95"/>
        <v>1.3093167701863351</v>
      </c>
      <c r="O499" s="22"/>
      <c r="P499" s="22"/>
      <c r="Q499" s="22"/>
      <c r="R499" s="22"/>
      <c r="S499" s="22"/>
    </row>
    <row r="500" spans="8:19" x14ac:dyDescent="0.15">
      <c r="H500" s="15">
        <v>24</v>
      </c>
      <c r="I500" s="15">
        <v>1</v>
      </c>
      <c r="J500" s="15">
        <f t="shared" si="97"/>
        <v>15</v>
      </c>
      <c r="K500" s="15">
        <f t="shared" si="97"/>
        <v>16</v>
      </c>
      <c r="L500" s="15">
        <v>-12.66</v>
      </c>
      <c r="M500" s="22">
        <v>7.81</v>
      </c>
      <c r="N500" s="15">
        <f t="shared" si="95"/>
        <v>1.6209987195902691</v>
      </c>
      <c r="O500" s="22"/>
      <c r="P500" s="22"/>
      <c r="Q500" s="22"/>
      <c r="R500" s="22"/>
      <c r="S500" s="22"/>
    </row>
    <row r="501" spans="8:19" x14ac:dyDescent="0.15">
      <c r="H501" s="15">
        <v>24</v>
      </c>
      <c r="I501" s="15">
        <v>1</v>
      </c>
      <c r="J501" s="15">
        <f t="shared" si="97"/>
        <v>16</v>
      </c>
      <c r="K501" s="15">
        <f t="shared" si="97"/>
        <v>17</v>
      </c>
      <c r="L501" s="15">
        <v>-13.91</v>
      </c>
      <c r="M501" s="22">
        <v>8.0500000000000007</v>
      </c>
      <c r="N501" s="15">
        <f t="shared" si="95"/>
        <v>1.7279503105590062</v>
      </c>
      <c r="O501" s="22"/>
      <c r="P501" s="22"/>
      <c r="Q501" s="22"/>
      <c r="R501" s="22"/>
      <c r="S501" s="22"/>
    </row>
    <row r="502" spans="8:19" x14ac:dyDescent="0.15">
      <c r="H502" s="15">
        <v>24</v>
      </c>
      <c r="I502" s="15">
        <v>1</v>
      </c>
      <c r="J502" s="15">
        <f t="shared" si="97"/>
        <v>17</v>
      </c>
      <c r="K502" s="15">
        <f t="shared" si="97"/>
        <v>18</v>
      </c>
      <c r="L502" s="15">
        <v>-16.329999999999998</v>
      </c>
      <c r="M502" s="22">
        <v>7.79</v>
      </c>
      <c r="N502" s="15">
        <f t="shared" si="95"/>
        <v>2.0962772785622592</v>
      </c>
      <c r="O502" s="22"/>
      <c r="P502" s="22"/>
      <c r="Q502" s="22"/>
      <c r="R502" s="22"/>
      <c r="S502" s="22"/>
    </row>
    <row r="503" spans="8:19" x14ac:dyDescent="0.15">
      <c r="H503" s="15">
        <v>24</v>
      </c>
      <c r="I503" s="15">
        <v>1</v>
      </c>
      <c r="J503" s="15">
        <f t="shared" si="97"/>
        <v>18</v>
      </c>
      <c r="K503" s="15">
        <f t="shared" si="97"/>
        <v>19</v>
      </c>
      <c r="L503" s="15">
        <v>-23.82</v>
      </c>
      <c r="M503" s="22">
        <v>7.99</v>
      </c>
      <c r="N503" s="15">
        <f t="shared" si="95"/>
        <v>2.981226533166458</v>
      </c>
      <c r="O503" s="22"/>
      <c r="P503" s="22"/>
      <c r="Q503" s="22"/>
      <c r="R503" s="22"/>
      <c r="S503" s="22"/>
    </row>
    <row r="504" spans="8:19" x14ac:dyDescent="0.15">
      <c r="H504" s="15">
        <v>24</v>
      </c>
      <c r="I504" s="15">
        <v>1</v>
      </c>
      <c r="J504" s="15">
        <f t="shared" si="97"/>
        <v>19</v>
      </c>
      <c r="K504" s="15">
        <f t="shared" si="97"/>
        <v>20</v>
      </c>
      <c r="L504" s="15">
        <v>-35.96</v>
      </c>
      <c r="M504" s="22">
        <v>8.2100000000000009</v>
      </c>
      <c r="N504" s="15">
        <f t="shared" si="95"/>
        <v>4.3800243605359315</v>
      </c>
      <c r="O504" s="22"/>
      <c r="P504" s="22"/>
      <c r="Q504" s="22"/>
      <c r="R504" s="22"/>
      <c r="S504" s="22"/>
    </row>
    <row r="505" spans="8:19" x14ac:dyDescent="0.15">
      <c r="H505" s="15">
        <v>24</v>
      </c>
      <c r="I505" s="15">
        <v>1</v>
      </c>
      <c r="J505" s="15">
        <f t="shared" si="97"/>
        <v>20</v>
      </c>
      <c r="K505" s="15">
        <f t="shared" si="97"/>
        <v>21</v>
      </c>
      <c r="L505" s="15">
        <v>-64.7</v>
      </c>
      <c r="M505" s="22">
        <v>7.99</v>
      </c>
      <c r="N505" s="15">
        <f t="shared" si="95"/>
        <v>8.0976220275344186</v>
      </c>
      <c r="O505" s="22"/>
      <c r="P505" s="22"/>
      <c r="Q505" s="22"/>
      <c r="R505" s="22"/>
      <c r="S505" s="22"/>
    </row>
    <row r="506" spans="8:19" x14ac:dyDescent="0.15">
      <c r="H506" s="15">
        <v>24</v>
      </c>
      <c r="I506" s="15">
        <v>1</v>
      </c>
      <c r="J506" s="15">
        <f t="shared" si="97"/>
        <v>21</v>
      </c>
      <c r="K506" s="15">
        <f t="shared" si="97"/>
        <v>22</v>
      </c>
      <c r="L506" s="15">
        <v>-154.65</v>
      </c>
      <c r="M506" s="22">
        <v>7.77</v>
      </c>
      <c r="N506" s="15">
        <f t="shared" si="95"/>
        <v>19.903474903474905</v>
      </c>
      <c r="O506" s="22"/>
      <c r="P506" s="22"/>
      <c r="Q506" s="22"/>
      <c r="R506" s="22"/>
      <c r="S506" s="22"/>
    </row>
    <row r="507" spans="8:19" x14ac:dyDescent="0.15">
      <c r="H507" s="15">
        <v>24</v>
      </c>
      <c r="I507" s="15">
        <v>1</v>
      </c>
      <c r="J507" s="15">
        <f t="shared" si="97"/>
        <v>22</v>
      </c>
      <c r="K507" s="15">
        <f t="shared" si="97"/>
        <v>23</v>
      </c>
      <c r="L507" s="22">
        <v>-646.01</v>
      </c>
      <c r="M507" s="22">
        <v>7.96</v>
      </c>
      <c r="N507" s="15">
        <f t="shared" si="95"/>
        <v>81.1570351758794</v>
      </c>
      <c r="O507" s="22"/>
      <c r="P507" s="22"/>
      <c r="Q507" s="22"/>
      <c r="R507" s="22"/>
      <c r="S507" s="22"/>
    </row>
  </sheetData>
  <mergeCells count="4">
    <mergeCell ref="A1:S1"/>
    <mergeCell ref="A2:F2"/>
    <mergeCell ref="H2:M2"/>
    <mergeCell ref="O2:S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7"/>
  <sheetViews>
    <sheetView topLeftCell="A483" workbookViewId="0">
      <selection activeCell="U483" sqref="U482:U483"/>
    </sheetView>
  </sheetViews>
  <sheetFormatPr defaultRowHeight="13.5" x14ac:dyDescent="0.15"/>
  <cols>
    <col min="1" max="4" width="5.625" customWidth="1"/>
    <col min="8" max="11" width="5.625" customWidth="1"/>
    <col min="14" max="14" width="12.75" bestFit="1" customWidth="1"/>
    <col min="15" max="17" width="5.625" customWidth="1"/>
  </cols>
  <sheetData>
    <row r="1" spans="1:19" x14ac:dyDescent="0.15">
      <c r="A1" s="56" t="s">
        <v>47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</row>
    <row r="2" spans="1:19" x14ac:dyDescent="0.15">
      <c r="A2" s="54" t="s">
        <v>20</v>
      </c>
      <c r="B2" s="54"/>
      <c r="C2" s="54"/>
      <c r="D2" s="54"/>
      <c r="E2" s="54"/>
      <c r="F2" s="54"/>
      <c r="G2" s="39"/>
      <c r="H2" s="55" t="s">
        <v>34</v>
      </c>
      <c r="I2" s="55"/>
      <c r="J2" s="55"/>
      <c r="K2" s="55"/>
      <c r="L2" s="55"/>
      <c r="M2" s="55"/>
      <c r="N2" s="40"/>
      <c r="O2" s="57" t="s">
        <v>35</v>
      </c>
      <c r="P2" s="57"/>
      <c r="Q2" s="57"/>
      <c r="R2" s="57"/>
      <c r="S2" s="57"/>
    </row>
    <row r="3" spans="1:19" x14ac:dyDescent="0.15">
      <c r="A3" s="23" t="s">
        <v>37</v>
      </c>
      <c r="B3" s="23" t="s">
        <v>38</v>
      </c>
      <c r="C3" s="23" t="s">
        <v>39</v>
      </c>
      <c r="D3" s="23" t="s">
        <v>40</v>
      </c>
      <c r="E3" s="23" t="s">
        <v>21</v>
      </c>
      <c r="F3" s="23" t="s">
        <v>22</v>
      </c>
      <c r="G3" s="23"/>
      <c r="H3" s="15" t="s">
        <v>37</v>
      </c>
      <c r="I3" s="15" t="s">
        <v>41</v>
      </c>
      <c r="J3" s="15" t="s">
        <v>42</v>
      </c>
      <c r="K3" s="15" t="s">
        <v>43</v>
      </c>
      <c r="L3" s="15" t="s">
        <v>21</v>
      </c>
      <c r="M3" s="15" t="s">
        <v>22</v>
      </c>
      <c r="N3" s="15"/>
      <c r="O3" s="15" t="s">
        <v>44</v>
      </c>
      <c r="P3" s="15" t="s">
        <v>45</v>
      </c>
      <c r="Q3" s="15" t="s">
        <v>41</v>
      </c>
      <c r="R3" s="15" t="s">
        <v>21</v>
      </c>
      <c r="S3" s="15" t="s">
        <v>22</v>
      </c>
    </row>
    <row r="4" spans="1:19" x14ac:dyDescent="0.15">
      <c r="A4" s="23">
        <v>1</v>
      </c>
      <c r="B4" s="17">
        <f>A4+1</f>
        <v>2</v>
      </c>
      <c r="C4" s="23">
        <f>B4+1</f>
        <v>3</v>
      </c>
      <c r="D4" s="23">
        <f>C4+1</f>
        <v>4</v>
      </c>
      <c r="E4">
        <v>1410.46</v>
      </c>
      <c r="F4">
        <v>9.6199999999999992</v>
      </c>
      <c r="G4">
        <f>E4/F4</f>
        <v>146.61746361746364</v>
      </c>
      <c r="H4" s="15">
        <v>1</v>
      </c>
      <c r="I4" s="15">
        <v>2</v>
      </c>
      <c r="J4" s="22">
        <v>3</v>
      </c>
      <c r="K4" s="15">
        <v>4</v>
      </c>
      <c r="L4" s="15">
        <v>-638.88</v>
      </c>
      <c r="M4" s="15">
        <v>8.92</v>
      </c>
      <c r="N4" s="15">
        <f>-L4/M4</f>
        <v>71.623318385650222</v>
      </c>
      <c r="O4" s="15">
        <v>1</v>
      </c>
      <c r="P4" s="15">
        <v>2</v>
      </c>
      <c r="Q4" s="15">
        <v>3</v>
      </c>
      <c r="R4" s="15"/>
      <c r="S4" s="15"/>
    </row>
    <row r="5" spans="1:19" x14ac:dyDescent="0.15">
      <c r="A5" s="23">
        <v>1</v>
      </c>
      <c r="B5" s="17">
        <f t="shared" ref="B5:B10" si="0">B4+1</f>
        <v>3</v>
      </c>
      <c r="C5" s="23">
        <f t="shared" ref="C5:C10" si="1">C4+2</f>
        <v>5</v>
      </c>
      <c r="D5" s="23">
        <f t="shared" ref="D5:D10" si="2">D4+3</f>
        <v>7</v>
      </c>
      <c r="E5">
        <v>464.79</v>
      </c>
      <c r="F5">
        <v>7.03</v>
      </c>
      <c r="G5">
        <f t="shared" ref="G5:G68" si="3">E5/F5</f>
        <v>66.115220483641536</v>
      </c>
      <c r="H5" s="15">
        <v>1</v>
      </c>
      <c r="I5" s="15">
        <v>2</v>
      </c>
      <c r="J5" s="22">
        <v>4</v>
      </c>
      <c r="K5" s="15">
        <v>5</v>
      </c>
      <c r="L5" s="15">
        <v>-174.77</v>
      </c>
      <c r="M5" s="15">
        <v>9.41</v>
      </c>
      <c r="N5" s="15">
        <f t="shared" ref="N5:N68" si="4">-L5/M5</f>
        <v>18.572794899043572</v>
      </c>
      <c r="O5" s="15">
        <v>1</v>
      </c>
      <c r="P5" s="15">
        <f>P4+1</f>
        <v>3</v>
      </c>
      <c r="Q5" s="15">
        <f>Q4+2</f>
        <v>5</v>
      </c>
      <c r="R5" s="15"/>
      <c r="S5" s="15"/>
    </row>
    <row r="6" spans="1:19" x14ac:dyDescent="0.15">
      <c r="A6" s="23">
        <v>1</v>
      </c>
      <c r="B6" s="17">
        <f t="shared" si="0"/>
        <v>4</v>
      </c>
      <c r="C6" s="23">
        <f t="shared" si="1"/>
        <v>7</v>
      </c>
      <c r="D6" s="23">
        <f t="shared" si="2"/>
        <v>10</v>
      </c>
      <c r="E6">
        <v>974.61</v>
      </c>
      <c r="F6">
        <v>10.59</v>
      </c>
      <c r="G6">
        <f t="shared" si="3"/>
        <v>92.03116147308782</v>
      </c>
      <c r="H6" s="15">
        <v>1</v>
      </c>
      <c r="I6" s="15">
        <v>2</v>
      </c>
      <c r="J6" s="22">
        <v>5</v>
      </c>
      <c r="K6" s="15">
        <v>6</v>
      </c>
      <c r="L6" s="15">
        <v>-72.5</v>
      </c>
      <c r="M6" s="15">
        <v>9.5</v>
      </c>
      <c r="N6" s="15">
        <f t="shared" si="4"/>
        <v>7.6315789473684212</v>
      </c>
      <c r="O6" s="15">
        <v>1</v>
      </c>
      <c r="P6" s="15">
        <f>P5+1</f>
        <v>4</v>
      </c>
      <c r="Q6" s="15">
        <f>Q5+2</f>
        <v>7</v>
      </c>
      <c r="R6" s="15"/>
      <c r="S6" s="15"/>
    </row>
    <row r="7" spans="1:19" x14ac:dyDescent="0.15">
      <c r="A7" s="23">
        <v>1</v>
      </c>
      <c r="B7" s="17">
        <f t="shared" si="0"/>
        <v>5</v>
      </c>
      <c r="C7" s="23">
        <f t="shared" si="1"/>
        <v>9</v>
      </c>
      <c r="D7" s="23">
        <f t="shared" si="2"/>
        <v>13</v>
      </c>
      <c r="E7">
        <v>451.33</v>
      </c>
      <c r="F7">
        <v>9.26</v>
      </c>
      <c r="G7">
        <f t="shared" si="3"/>
        <v>48.73974082073434</v>
      </c>
      <c r="H7" s="15">
        <v>1</v>
      </c>
      <c r="I7" s="15">
        <v>2</v>
      </c>
      <c r="J7" s="22">
        <v>6</v>
      </c>
      <c r="K7" s="15">
        <v>7</v>
      </c>
      <c r="L7" s="15">
        <v>-42.72</v>
      </c>
      <c r="M7" s="15">
        <v>9.74</v>
      </c>
      <c r="N7" s="15">
        <f t="shared" si="4"/>
        <v>4.386036960985626</v>
      </c>
      <c r="O7" s="15">
        <v>1</v>
      </c>
      <c r="P7" s="15">
        <f>P6+1</f>
        <v>5</v>
      </c>
      <c r="Q7" s="15">
        <f>Q6+2</f>
        <v>9</v>
      </c>
      <c r="R7" s="15"/>
      <c r="S7" s="15"/>
    </row>
    <row r="8" spans="1:19" x14ac:dyDescent="0.15">
      <c r="A8" s="23">
        <v>1</v>
      </c>
      <c r="B8" s="17">
        <f t="shared" si="0"/>
        <v>6</v>
      </c>
      <c r="C8" s="23">
        <f t="shared" si="1"/>
        <v>11</v>
      </c>
      <c r="D8" s="23">
        <f t="shared" si="2"/>
        <v>16</v>
      </c>
      <c r="E8">
        <v>229.78</v>
      </c>
      <c r="F8">
        <v>8.9600000000000009</v>
      </c>
      <c r="G8">
        <f t="shared" si="3"/>
        <v>25.645089285714285</v>
      </c>
      <c r="H8" s="15">
        <v>1</v>
      </c>
      <c r="I8" s="15">
        <v>2</v>
      </c>
      <c r="J8" s="22">
        <v>7</v>
      </c>
      <c r="K8" s="15">
        <v>8</v>
      </c>
      <c r="L8" s="15">
        <v>-29.79</v>
      </c>
      <c r="M8" s="15">
        <v>9.92</v>
      </c>
      <c r="N8" s="15">
        <f t="shared" si="4"/>
        <v>3.003024193548387</v>
      </c>
      <c r="O8" s="15">
        <v>1</v>
      </c>
      <c r="P8" s="15">
        <f>P7+1</f>
        <v>6</v>
      </c>
      <c r="Q8" s="15">
        <f>Q7+2</f>
        <v>11</v>
      </c>
      <c r="R8" s="15"/>
      <c r="S8" s="15"/>
    </row>
    <row r="9" spans="1:19" x14ac:dyDescent="0.15">
      <c r="A9" s="23">
        <v>1</v>
      </c>
      <c r="B9" s="17">
        <f t="shared" si="0"/>
        <v>7</v>
      </c>
      <c r="C9" s="23">
        <f t="shared" si="1"/>
        <v>13</v>
      </c>
      <c r="D9" s="23">
        <f t="shared" si="2"/>
        <v>19</v>
      </c>
      <c r="E9">
        <v>298.7</v>
      </c>
      <c r="F9">
        <v>6.41</v>
      </c>
      <c r="G9">
        <f t="shared" si="3"/>
        <v>46.599063962558496</v>
      </c>
      <c r="H9" s="15">
        <v>1</v>
      </c>
      <c r="I9" s="15">
        <v>2</v>
      </c>
      <c r="J9" s="22">
        <v>8</v>
      </c>
      <c r="K9" s="15">
        <v>9</v>
      </c>
      <c r="L9" s="15">
        <v>-21.32</v>
      </c>
      <c r="M9" s="15">
        <v>9.82</v>
      </c>
      <c r="N9" s="15">
        <f t="shared" si="4"/>
        <v>2.1710794297352343</v>
      </c>
      <c r="O9" s="15">
        <v>1</v>
      </c>
      <c r="P9" s="15">
        <f>P8+1</f>
        <v>7</v>
      </c>
      <c r="Q9" s="15">
        <f>Q8+2</f>
        <v>13</v>
      </c>
      <c r="R9" s="15"/>
      <c r="S9" s="15"/>
    </row>
    <row r="10" spans="1:19" x14ac:dyDescent="0.15">
      <c r="A10" s="23">
        <v>1</v>
      </c>
      <c r="B10" s="17">
        <f t="shared" si="0"/>
        <v>8</v>
      </c>
      <c r="C10" s="23">
        <f t="shared" si="1"/>
        <v>15</v>
      </c>
      <c r="D10" s="23">
        <f t="shared" si="2"/>
        <v>22</v>
      </c>
      <c r="E10">
        <v>70.61</v>
      </c>
      <c r="F10">
        <v>6.62</v>
      </c>
      <c r="G10">
        <f t="shared" si="3"/>
        <v>10.666163141993957</v>
      </c>
      <c r="H10" s="15">
        <v>1</v>
      </c>
      <c r="I10" s="15">
        <v>2</v>
      </c>
      <c r="J10" s="22">
        <v>9</v>
      </c>
      <c r="K10" s="15">
        <v>10</v>
      </c>
      <c r="L10" s="15">
        <v>-17.98</v>
      </c>
      <c r="M10" s="15">
        <v>9.81</v>
      </c>
      <c r="N10" s="15">
        <f t="shared" si="4"/>
        <v>1.8328236493374108</v>
      </c>
      <c r="O10" s="15">
        <v>2</v>
      </c>
      <c r="P10" s="15">
        <v>3</v>
      </c>
      <c r="Q10" s="15">
        <v>4</v>
      </c>
      <c r="R10" s="15"/>
      <c r="S10" s="15"/>
    </row>
    <row r="11" spans="1:19" x14ac:dyDescent="0.15">
      <c r="A11" s="23">
        <v>2</v>
      </c>
      <c r="B11" s="17">
        <f>A11+1</f>
        <v>3</v>
      </c>
      <c r="C11" s="23">
        <f>B11+1</f>
        <v>4</v>
      </c>
      <c r="D11" s="23">
        <f>C11+1</f>
        <v>5</v>
      </c>
      <c r="E11">
        <v>1595.57</v>
      </c>
      <c r="F11">
        <v>8.99</v>
      </c>
      <c r="G11">
        <f t="shared" si="3"/>
        <v>177.48275862068965</v>
      </c>
      <c r="H11" s="15">
        <v>1</v>
      </c>
      <c r="I11" s="15">
        <v>2</v>
      </c>
      <c r="J11" s="22">
        <v>10</v>
      </c>
      <c r="K11" s="15">
        <v>11</v>
      </c>
      <c r="L11" s="15">
        <v>-15.61</v>
      </c>
      <c r="M11" s="15">
        <v>9.85</v>
      </c>
      <c r="N11" s="15">
        <f t="shared" si="4"/>
        <v>1.5847715736040608</v>
      </c>
      <c r="O11" s="15">
        <v>2</v>
      </c>
      <c r="P11" s="15">
        <f>P10+1</f>
        <v>4</v>
      </c>
      <c r="Q11" s="15">
        <f>Q10+2</f>
        <v>6</v>
      </c>
      <c r="R11" s="15"/>
      <c r="S11" s="15"/>
    </row>
    <row r="12" spans="1:19" x14ac:dyDescent="0.15">
      <c r="A12" s="23">
        <v>2</v>
      </c>
      <c r="B12" s="17">
        <f t="shared" ref="B12:B17" si="5">B11+1</f>
        <v>4</v>
      </c>
      <c r="C12" s="23">
        <f t="shared" ref="C12:C17" si="6">C11+2</f>
        <v>6</v>
      </c>
      <c r="D12" s="23">
        <f t="shared" ref="D12:D17" si="7">D11+3</f>
        <v>8</v>
      </c>
      <c r="E12">
        <v>918.17</v>
      </c>
      <c r="F12">
        <v>9.5299999999999994</v>
      </c>
      <c r="G12">
        <f t="shared" si="3"/>
        <v>96.345225603357818</v>
      </c>
      <c r="H12" s="15">
        <v>1</v>
      </c>
      <c r="I12" s="15">
        <v>2</v>
      </c>
      <c r="J12" s="22">
        <v>11</v>
      </c>
      <c r="K12" s="15">
        <v>12</v>
      </c>
      <c r="L12" s="15">
        <v>-13.85</v>
      </c>
      <c r="M12" s="15">
        <v>9.7799999999999994</v>
      </c>
      <c r="N12" s="15">
        <f t="shared" si="4"/>
        <v>1.416155419222904</v>
      </c>
      <c r="O12" s="15">
        <v>2</v>
      </c>
      <c r="P12" s="15">
        <f>P11+1</f>
        <v>5</v>
      </c>
      <c r="Q12" s="15">
        <f>Q11+2</f>
        <v>8</v>
      </c>
      <c r="R12" s="15"/>
      <c r="S12" s="15"/>
    </row>
    <row r="13" spans="1:19" x14ac:dyDescent="0.15">
      <c r="A13" s="23">
        <v>2</v>
      </c>
      <c r="B13" s="17">
        <f t="shared" si="5"/>
        <v>5</v>
      </c>
      <c r="C13" s="23">
        <f t="shared" si="6"/>
        <v>8</v>
      </c>
      <c r="D13" s="23">
        <f t="shared" si="7"/>
        <v>11</v>
      </c>
      <c r="E13">
        <v>591.23</v>
      </c>
      <c r="F13">
        <v>5.99</v>
      </c>
      <c r="G13">
        <f t="shared" si="3"/>
        <v>98.70283806343906</v>
      </c>
      <c r="H13" s="15">
        <v>1</v>
      </c>
      <c r="I13" s="15">
        <v>2</v>
      </c>
      <c r="J13" s="22">
        <v>12</v>
      </c>
      <c r="K13" s="15">
        <v>13</v>
      </c>
      <c r="L13" s="15">
        <v>-13.57</v>
      </c>
      <c r="M13" s="15">
        <v>10.029999999999999</v>
      </c>
      <c r="N13" s="15">
        <f t="shared" si="4"/>
        <v>1.3529411764705883</v>
      </c>
      <c r="O13" s="15">
        <v>2</v>
      </c>
      <c r="P13" s="15">
        <f>P12+1</f>
        <v>6</v>
      </c>
      <c r="Q13" s="15">
        <f>Q12+2</f>
        <v>10</v>
      </c>
      <c r="R13" s="15"/>
      <c r="S13" s="15"/>
    </row>
    <row r="14" spans="1:19" x14ac:dyDescent="0.15">
      <c r="A14" s="23">
        <v>2</v>
      </c>
      <c r="B14" s="17">
        <f t="shared" si="5"/>
        <v>6</v>
      </c>
      <c r="C14" s="23">
        <f t="shared" si="6"/>
        <v>10</v>
      </c>
      <c r="D14" s="23">
        <f t="shared" si="7"/>
        <v>14</v>
      </c>
      <c r="E14">
        <v>499.93</v>
      </c>
      <c r="F14">
        <v>9.24</v>
      </c>
      <c r="G14">
        <f t="shared" si="3"/>
        <v>54.104978354978357</v>
      </c>
      <c r="H14" s="15">
        <v>1</v>
      </c>
      <c r="I14" s="15">
        <v>2</v>
      </c>
      <c r="J14" s="22">
        <v>13</v>
      </c>
      <c r="K14" s="15">
        <v>14</v>
      </c>
      <c r="L14" s="15">
        <v>-13.19</v>
      </c>
      <c r="M14" s="15">
        <v>10.039999999999999</v>
      </c>
      <c r="N14" s="15">
        <f t="shared" si="4"/>
        <v>1.3137450199203189</v>
      </c>
      <c r="O14" s="15">
        <v>2</v>
      </c>
      <c r="P14" s="15">
        <f>P13+1</f>
        <v>7</v>
      </c>
      <c r="Q14" s="15">
        <f>Q13+2</f>
        <v>12</v>
      </c>
      <c r="R14" s="15"/>
      <c r="S14" s="15"/>
    </row>
    <row r="15" spans="1:19" x14ac:dyDescent="0.15">
      <c r="A15" s="23">
        <v>2</v>
      </c>
      <c r="B15" s="17">
        <f t="shared" si="5"/>
        <v>7</v>
      </c>
      <c r="C15" s="23">
        <f t="shared" si="6"/>
        <v>12</v>
      </c>
      <c r="D15" s="23">
        <f t="shared" si="7"/>
        <v>17</v>
      </c>
      <c r="E15">
        <v>485.46</v>
      </c>
      <c r="F15">
        <v>7.44</v>
      </c>
      <c r="G15">
        <f t="shared" si="3"/>
        <v>65.25</v>
      </c>
      <c r="H15" s="15">
        <v>1</v>
      </c>
      <c r="I15" s="15">
        <v>2</v>
      </c>
      <c r="J15" s="22">
        <v>14</v>
      </c>
      <c r="K15" s="15">
        <v>15</v>
      </c>
      <c r="L15" s="15">
        <v>-12.88</v>
      </c>
      <c r="M15" s="15">
        <v>9.93</v>
      </c>
      <c r="N15" s="15">
        <f t="shared" si="4"/>
        <v>1.297079556898288</v>
      </c>
      <c r="O15" s="15">
        <v>2</v>
      </c>
      <c r="P15" s="15">
        <f>P14+1</f>
        <v>8</v>
      </c>
      <c r="Q15" s="15">
        <f>Q14+2</f>
        <v>14</v>
      </c>
      <c r="R15" s="15"/>
      <c r="S15" s="22"/>
    </row>
    <row r="16" spans="1:19" x14ac:dyDescent="0.15">
      <c r="A16" s="23">
        <v>2</v>
      </c>
      <c r="B16" s="17">
        <f t="shared" si="5"/>
        <v>8</v>
      </c>
      <c r="C16" s="23">
        <f t="shared" si="6"/>
        <v>14</v>
      </c>
      <c r="D16" s="23">
        <f t="shared" si="7"/>
        <v>20</v>
      </c>
      <c r="E16">
        <v>426.83</v>
      </c>
      <c r="F16">
        <v>8.75</v>
      </c>
      <c r="G16">
        <f t="shared" si="3"/>
        <v>48.780571428571427</v>
      </c>
      <c r="H16" s="15">
        <v>1</v>
      </c>
      <c r="I16" s="15">
        <v>2</v>
      </c>
      <c r="J16" s="22">
        <v>15</v>
      </c>
      <c r="K16" s="15">
        <v>16</v>
      </c>
      <c r="L16" s="15">
        <v>-13.95</v>
      </c>
      <c r="M16" s="15">
        <v>9.9600000000000009</v>
      </c>
      <c r="N16" s="15">
        <f t="shared" si="4"/>
        <v>1.4006024096385541</v>
      </c>
      <c r="O16" s="15">
        <v>3</v>
      </c>
      <c r="P16" s="15">
        <v>4</v>
      </c>
      <c r="Q16" s="15">
        <v>5</v>
      </c>
      <c r="R16" s="15"/>
      <c r="S16" s="22"/>
    </row>
    <row r="17" spans="1:19" x14ac:dyDescent="0.15">
      <c r="A17" s="23">
        <v>2</v>
      </c>
      <c r="B17" s="17">
        <f t="shared" si="5"/>
        <v>9</v>
      </c>
      <c r="C17" s="23">
        <f t="shared" si="6"/>
        <v>16</v>
      </c>
      <c r="D17" s="23">
        <f t="shared" si="7"/>
        <v>23</v>
      </c>
      <c r="E17">
        <v>144.35</v>
      </c>
      <c r="F17">
        <v>6.14</v>
      </c>
      <c r="G17">
        <f t="shared" si="3"/>
        <v>23.509771986970684</v>
      </c>
      <c r="H17" s="15">
        <v>1</v>
      </c>
      <c r="I17" s="15">
        <v>2</v>
      </c>
      <c r="J17" s="22">
        <v>16</v>
      </c>
      <c r="K17" s="15">
        <v>17</v>
      </c>
      <c r="L17" s="15">
        <v>-14.87</v>
      </c>
      <c r="M17" s="15">
        <v>9.99</v>
      </c>
      <c r="N17" s="15">
        <f t="shared" si="4"/>
        <v>1.4884884884884884</v>
      </c>
      <c r="O17" s="15">
        <v>3</v>
      </c>
      <c r="P17" s="15">
        <f>P16+1</f>
        <v>5</v>
      </c>
      <c r="Q17" s="15">
        <f>Q16+2</f>
        <v>7</v>
      </c>
      <c r="R17" s="15"/>
      <c r="S17" s="22"/>
    </row>
    <row r="18" spans="1:19" x14ac:dyDescent="0.15">
      <c r="A18" s="23">
        <v>3</v>
      </c>
      <c r="B18" s="17">
        <f>A18+1</f>
        <v>4</v>
      </c>
      <c r="C18" s="23">
        <f>B18+1</f>
        <v>5</v>
      </c>
      <c r="D18" s="23">
        <f>C18+1</f>
        <v>6</v>
      </c>
      <c r="E18">
        <v>1048.29</v>
      </c>
      <c r="F18">
        <v>4.78</v>
      </c>
      <c r="G18">
        <f t="shared" si="3"/>
        <v>219.30753138075312</v>
      </c>
      <c r="H18" s="15">
        <v>1</v>
      </c>
      <c r="I18" s="15">
        <v>2</v>
      </c>
      <c r="J18" s="22">
        <v>17</v>
      </c>
      <c r="K18" s="15">
        <v>18</v>
      </c>
      <c r="L18" s="15">
        <v>-16.27</v>
      </c>
      <c r="M18" s="15">
        <v>9.9</v>
      </c>
      <c r="N18" s="15">
        <f t="shared" si="4"/>
        <v>1.6434343434343432</v>
      </c>
      <c r="O18" s="15">
        <v>3</v>
      </c>
      <c r="P18" s="15">
        <f>P17+1</f>
        <v>6</v>
      </c>
      <c r="Q18" s="15">
        <f>Q17+2</f>
        <v>9</v>
      </c>
      <c r="R18" s="15"/>
      <c r="S18" s="15"/>
    </row>
    <row r="19" spans="1:19" x14ac:dyDescent="0.15">
      <c r="A19" s="23">
        <v>3</v>
      </c>
      <c r="B19" s="17">
        <f t="shared" ref="B19:B24" si="8">B18+1</f>
        <v>5</v>
      </c>
      <c r="C19" s="23">
        <f t="shared" ref="C19:C24" si="9">C18+2</f>
        <v>7</v>
      </c>
      <c r="D19" s="23">
        <f t="shared" ref="D19:D24" si="10">D18+3</f>
        <v>9</v>
      </c>
      <c r="E19">
        <v>694.32</v>
      </c>
      <c r="F19">
        <v>5.76</v>
      </c>
      <c r="G19">
        <f t="shared" si="3"/>
        <v>120.54166666666669</v>
      </c>
      <c r="H19" s="15">
        <v>1</v>
      </c>
      <c r="I19" s="15">
        <v>2</v>
      </c>
      <c r="J19" s="22">
        <v>18</v>
      </c>
      <c r="K19" s="15">
        <v>19</v>
      </c>
      <c r="L19" s="15">
        <v>-21.57</v>
      </c>
      <c r="M19" s="15">
        <v>10</v>
      </c>
      <c r="N19" s="15">
        <f t="shared" si="4"/>
        <v>2.157</v>
      </c>
      <c r="O19" s="15">
        <v>3</v>
      </c>
      <c r="P19" s="15">
        <f>P18+1</f>
        <v>7</v>
      </c>
      <c r="Q19" s="15">
        <v>11</v>
      </c>
      <c r="R19" s="15"/>
      <c r="S19" s="15"/>
    </row>
    <row r="20" spans="1:19" x14ac:dyDescent="0.15">
      <c r="A20" s="23">
        <v>3</v>
      </c>
      <c r="B20" s="17">
        <f t="shared" si="8"/>
        <v>6</v>
      </c>
      <c r="C20" s="23">
        <f t="shared" si="9"/>
        <v>9</v>
      </c>
      <c r="D20" s="23">
        <f t="shared" si="10"/>
        <v>12</v>
      </c>
      <c r="E20">
        <v>654.97</v>
      </c>
      <c r="F20">
        <v>6.74</v>
      </c>
      <c r="G20">
        <f t="shared" si="3"/>
        <v>97.176557863501486</v>
      </c>
      <c r="H20" s="15">
        <v>1</v>
      </c>
      <c r="I20" s="15">
        <v>2</v>
      </c>
      <c r="J20" s="22">
        <v>19</v>
      </c>
      <c r="K20" s="15">
        <v>20</v>
      </c>
      <c r="L20" s="15">
        <v>-24.59</v>
      </c>
      <c r="M20" s="15">
        <v>9.61</v>
      </c>
      <c r="N20" s="15">
        <f t="shared" si="4"/>
        <v>2.5587929240374612</v>
      </c>
      <c r="O20" s="15">
        <v>3</v>
      </c>
      <c r="P20" s="15">
        <f>P19+1</f>
        <v>8</v>
      </c>
      <c r="Q20" s="15">
        <f>Q19+2</f>
        <v>13</v>
      </c>
      <c r="R20" s="15"/>
      <c r="S20" s="15"/>
    </row>
    <row r="21" spans="1:19" x14ac:dyDescent="0.15">
      <c r="A21" s="23">
        <v>3</v>
      </c>
      <c r="B21" s="17">
        <f t="shared" si="8"/>
        <v>7</v>
      </c>
      <c r="C21" s="23">
        <f t="shared" si="9"/>
        <v>11</v>
      </c>
      <c r="D21" s="23">
        <f t="shared" si="10"/>
        <v>15</v>
      </c>
      <c r="E21">
        <v>474.2</v>
      </c>
      <c r="F21">
        <v>5.87</v>
      </c>
      <c r="G21">
        <f t="shared" si="3"/>
        <v>80.783645655877336</v>
      </c>
      <c r="H21" s="15">
        <v>1</v>
      </c>
      <c r="I21" s="15">
        <v>2</v>
      </c>
      <c r="J21" s="22">
        <v>20</v>
      </c>
      <c r="K21" s="15">
        <v>21</v>
      </c>
      <c r="L21" s="15">
        <v>-33.409999999999997</v>
      </c>
      <c r="M21" s="15">
        <v>8.91</v>
      </c>
      <c r="N21" s="15">
        <f t="shared" si="4"/>
        <v>3.7497194163860827</v>
      </c>
      <c r="O21" s="15">
        <v>3</v>
      </c>
      <c r="P21" s="15">
        <f>P20+1</f>
        <v>9</v>
      </c>
      <c r="Q21" s="15">
        <f>Q20+2</f>
        <v>15</v>
      </c>
      <c r="R21" s="15"/>
      <c r="S21" s="15"/>
    </row>
    <row r="22" spans="1:19" x14ac:dyDescent="0.15">
      <c r="A22" s="23">
        <v>3</v>
      </c>
      <c r="B22" s="17">
        <f t="shared" si="8"/>
        <v>8</v>
      </c>
      <c r="C22" s="23">
        <f t="shared" si="9"/>
        <v>13</v>
      </c>
      <c r="D22" s="23">
        <f t="shared" si="10"/>
        <v>18</v>
      </c>
      <c r="E22">
        <v>415.34</v>
      </c>
      <c r="F22">
        <v>6.35</v>
      </c>
      <c r="G22">
        <f t="shared" si="3"/>
        <v>65.407874015748035</v>
      </c>
      <c r="H22" s="15">
        <v>1</v>
      </c>
      <c r="I22" s="15">
        <v>2</v>
      </c>
      <c r="J22" s="22">
        <v>21</v>
      </c>
      <c r="K22" s="15">
        <v>22</v>
      </c>
      <c r="L22" s="15">
        <v>-72.78</v>
      </c>
      <c r="M22" s="15">
        <v>9.5299999999999994</v>
      </c>
      <c r="N22" s="15">
        <f t="shared" si="4"/>
        <v>7.6369359916054567</v>
      </c>
      <c r="O22" s="15">
        <v>4</v>
      </c>
      <c r="P22" s="15">
        <v>5</v>
      </c>
      <c r="Q22" s="15">
        <v>6</v>
      </c>
      <c r="R22" s="15"/>
      <c r="S22" s="15"/>
    </row>
    <row r="23" spans="1:19" x14ac:dyDescent="0.15">
      <c r="A23" s="23">
        <v>3</v>
      </c>
      <c r="B23" s="17">
        <f t="shared" si="8"/>
        <v>9</v>
      </c>
      <c r="C23" s="23">
        <f t="shared" si="9"/>
        <v>15</v>
      </c>
      <c r="D23" s="23">
        <f t="shared" si="10"/>
        <v>21</v>
      </c>
      <c r="E23">
        <v>304.79000000000002</v>
      </c>
      <c r="F23">
        <v>5.97</v>
      </c>
      <c r="G23">
        <f t="shared" si="3"/>
        <v>51.053601340033509</v>
      </c>
      <c r="H23" s="15">
        <v>1</v>
      </c>
      <c r="I23" s="15">
        <v>2</v>
      </c>
      <c r="J23" s="22">
        <v>22</v>
      </c>
      <c r="K23" s="15">
        <v>23</v>
      </c>
      <c r="L23" s="15">
        <v>-177.28</v>
      </c>
      <c r="M23" s="15">
        <v>9.92</v>
      </c>
      <c r="N23" s="15">
        <f t="shared" si="4"/>
        <v>17.870967741935484</v>
      </c>
      <c r="O23" s="15">
        <v>4</v>
      </c>
      <c r="P23" s="15">
        <f>P22+1</f>
        <v>6</v>
      </c>
      <c r="Q23" s="15">
        <f>Q22+2</f>
        <v>8</v>
      </c>
      <c r="R23" s="15"/>
      <c r="S23" s="15"/>
    </row>
    <row r="24" spans="1:19" x14ac:dyDescent="0.15">
      <c r="A24" s="23">
        <v>3</v>
      </c>
      <c r="B24" s="17">
        <f t="shared" si="8"/>
        <v>10</v>
      </c>
      <c r="C24" s="23">
        <f t="shared" si="9"/>
        <v>17</v>
      </c>
      <c r="D24" s="23">
        <f t="shared" si="10"/>
        <v>24</v>
      </c>
      <c r="E24">
        <v>170.44</v>
      </c>
      <c r="F24">
        <v>5.95</v>
      </c>
      <c r="G24">
        <f t="shared" si="3"/>
        <v>28.645378151260502</v>
      </c>
      <c r="H24" s="15">
        <v>1</v>
      </c>
      <c r="I24" s="15">
        <v>2</v>
      </c>
      <c r="J24" s="22">
        <v>23</v>
      </c>
      <c r="K24" s="15">
        <v>24</v>
      </c>
      <c r="L24" s="15">
        <v>-614.47</v>
      </c>
      <c r="M24" s="15">
        <v>9.8699999999999992</v>
      </c>
      <c r="N24" s="15">
        <f t="shared" si="4"/>
        <v>62.256332320162116</v>
      </c>
      <c r="O24" s="15">
        <v>4</v>
      </c>
      <c r="P24" s="15">
        <f t="shared" ref="P24:P87" si="11">P23+1</f>
        <v>7</v>
      </c>
      <c r="Q24" s="15">
        <f t="shared" ref="Q24:Q33" si="12">Q23+2</f>
        <v>10</v>
      </c>
      <c r="R24" s="15"/>
      <c r="S24" s="15"/>
    </row>
    <row r="25" spans="1:19" x14ac:dyDescent="0.15">
      <c r="A25" s="23">
        <v>4</v>
      </c>
      <c r="B25" s="17">
        <f>A25+1</f>
        <v>5</v>
      </c>
      <c r="C25" s="23">
        <f>B25+1</f>
        <v>6</v>
      </c>
      <c r="D25" s="23">
        <f>C25+1</f>
        <v>7</v>
      </c>
      <c r="E25">
        <v>1413.61</v>
      </c>
      <c r="F25">
        <v>7.03</v>
      </c>
      <c r="G25">
        <f t="shared" si="3"/>
        <v>201.08250355618773</v>
      </c>
      <c r="H25" s="15">
        <v>2</v>
      </c>
      <c r="I25" s="15">
        <v>3</v>
      </c>
      <c r="J25" s="22">
        <v>4</v>
      </c>
      <c r="K25" s="15">
        <v>5</v>
      </c>
      <c r="L25" s="15">
        <v>-369.23</v>
      </c>
      <c r="M25" s="15">
        <v>5.56</v>
      </c>
      <c r="N25" s="15">
        <f t="shared" si="4"/>
        <v>66.408273381294975</v>
      </c>
      <c r="O25" s="15">
        <v>4</v>
      </c>
      <c r="P25" s="15">
        <f t="shared" si="11"/>
        <v>8</v>
      </c>
      <c r="Q25" s="15">
        <f t="shared" si="12"/>
        <v>12</v>
      </c>
      <c r="R25" s="15"/>
      <c r="S25" s="15"/>
    </row>
    <row r="26" spans="1:19" x14ac:dyDescent="0.15">
      <c r="A26" s="23">
        <v>4</v>
      </c>
      <c r="B26" s="17">
        <f t="shared" ref="B26:B31" si="13">B25+1</f>
        <v>6</v>
      </c>
      <c r="C26" s="23">
        <f t="shared" ref="C26:C31" si="14">C25+2</f>
        <v>8</v>
      </c>
      <c r="D26" s="23">
        <f>D25+3</f>
        <v>10</v>
      </c>
      <c r="E26">
        <v>1285.55</v>
      </c>
      <c r="F26">
        <v>10.220000000000001</v>
      </c>
      <c r="G26">
        <f t="shared" si="3"/>
        <v>125.7876712328767</v>
      </c>
      <c r="H26" s="15">
        <v>2</v>
      </c>
      <c r="I26" s="15">
        <v>3</v>
      </c>
      <c r="J26" s="22">
        <v>5</v>
      </c>
      <c r="K26" s="15">
        <v>6</v>
      </c>
      <c r="L26" s="15">
        <v>-88.66</v>
      </c>
      <c r="M26" s="15">
        <v>5.7</v>
      </c>
      <c r="N26" s="15">
        <f t="shared" si="4"/>
        <v>15.55438596491228</v>
      </c>
      <c r="O26" s="15">
        <v>4</v>
      </c>
      <c r="P26" s="15">
        <f t="shared" si="11"/>
        <v>9</v>
      </c>
      <c r="Q26" s="15">
        <f t="shared" si="12"/>
        <v>14</v>
      </c>
      <c r="R26" s="15"/>
      <c r="S26" s="15"/>
    </row>
    <row r="27" spans="1:19" x14ac:dyDescent="0.15">
      <c r="A27" s="23">
        <v>4</v>
      </c>
      <c r="B27" s="17">
        <f t="shared" si="13"/>
        <v>7</v>
      </c>
      <c r="C27" s="23">
        <f t="shared" si="14"/>
        <v>10</v>
      </c>
      <c r="D27" s="23">
        <f>D26+3</f>
        <v>13</v>
      </c>
      <c r="E27">
        <v>810.57</v>
      </c>
      <c r="F27">
        <v>8.4600000000000009</v>
      </c>
      <c r="G27">
        <f t="shared" si="3"/>
        <v>95.812056737588648</v>
      </c>
      <c r="H27" s="15">
        <v>2</v>
      </c>
      <c r="I27" s="15">
        <v>3</v>
      </c>
      <c r="J27" s="22">
        <v>6</v>
      </c>
      <c r="K27" s="15">
        <v>7</v>
      </c>
      <c r="L27" s="15">
        <v>-37.840000000000003</v>
      </c>
      <c r="M27" s="15">
        <v>5.62</v>
      </c>
      <c r="N27" s="15">
        <f t="shared" si="4"/>
        <v>6.7330960854092528</v>
      </c>
      <c r="O27" s="15">
        <v>4</v>
      </c>
      <c r="P27" s="15">
        <f t="shared" si="11"/>
        <v>10</v>
      </c>
      <c r="Q27" s="15">
        <f t="shared" si="12"/>
        <v>16</v>
      </c>
      <c r="R27" s="15"/>
      <c r="S27" s="15"/>
    </row>
    <row r="28" spans="1:19" x14ac:dyDescent="0.15">
      <c r="A28" s="23">
        <v>4</v>
      </c>
      <c r="B28" s="17">
        <f t="shared" si="13"/>
        <v>8</v>
      </c>
      <c r="C28" s="23">
        <f t="shared" si="14"/>
        <v>12</v>
      </c>
      <c r="D28" s="23">
        <f>D27+3</f>
        <v>16</v>
      </c>
      <c r="E28">
        <v>681.16</v>
      </c>
      <c r="F28">
        <v>8.6999999999999993</v>
      </c>
      <c r="G28">
        <f t="shared" si="3"/>
        <v>78.294252873563224</v>
      </c>
      <c r="H28" s="15">
        <v>2</v>
      </c>
      <c r="I28" s="15">
        <v>3</v>
      </c>
      <c r="J28" s="22">
        <v>7</v>
      </c>
      <c r="K28" s="15">
        <v>8</v>
      </c>
      <c r="L28" s="15">
        <v>-19.739999999999998</v>
      </c>
      <c r="M28" s="15">
        <v>5.81</v>
      </c>
      <c r="N28" s="15">
        <f t="shared" si="4"/>
        <v>3.3975903614457832</v>
      </c>
      <c r="O28" s="15">
        <v>5</v>
      </c>
      <c r="P28" s="15">
        <v>6</v>
      </c>
      <c r="Q28" s="15">
        <v>7</v>
      </c>
      <c r="R28" s="15"/>
      <c r="S28" s="15"/>
    </row>
    <row r="29" spans="1:19" x14ac:dyDescent="0.15">
      <c r="A29" s="23">
        <v>4</v>
      </c>
      <c r="B29" s="17">
        <f t="shared" si="13"/>
        <v>9</v>
      </c>
      <c r="C29" s="23">
        <f t="shared" si="14"/>
        <v>14</v>
      </c>
      <c r="D29" s="23">
        <f>D28+3</f>
        <v>19</v>
      </c>
      <c r="E29">
        <v>409.44</v>
      </c>
      <c r="F29">
        <v>6.15</v>
      </c>
      <c r="G29">
        <f t="shared" si="3"/>
        <v>66.575609756097563</v>
      </c>
      <c r="H29" s="15">
        <v>2</v>
      </c>
      <c r="I29" s="15">
        <v>3</v>
      </c>
      <c r="J29" s="22">
        <v>8</v>
      </c>
      <c r="K29" s="15">
        <v>9</v>
      </c>
      <c r="L29" s="15">
        <v>-13.89</v>
      </c>
      <c r="M29" s="15">
        <v>5.8</v>
      </c>
      <c r="N29" s="15">
        <f t="shared" si="4"/>
        <v>2.3948275862068966</v>
      </c>
      <c r="O29" s="15">
        <v>5</v>
      </c>
      <c r="P29" s="15">
        <f>P28+1</f>
        <v>7</v>
      </c>
      <c r="Q29" s="15">
        <f t="shared" si="12"/>
        <v>9</v>
      </c>
      <c r="R29" s="15"/>
      <c r="S29" s="15"/>
    </row>
    <row r="30" spans="1:19" x14ac:dyDescent="0.15">
      <c r="A30" s="23">
        <v>4</v>
      </c>
      <c r="B30" s="17">
        <f t="shared" si="13"/>
        <v>10</v>
      </c>
      <c r="C30" s="23">
        <f t="shared" si="14"/>
        <v>16</v>
      </c>
      <c r="D30" s="23">
        <f>D29+3</f>
        <v>22</v>
      </c>
      <c r="E30">
        <v>348.68</v>
      </c>
      <c r="F30">
        <v>6.85</v>
      </c>
      <c r="G30">
        <f t="shared" si="3"/>
        <v>50.902189781021903</v>
      </c>
      <c r="H30" s="15">
        <v>2</v>
      </c>
      <c r="I30" s="15">
        <v>3</v>
      </c>
      <c r="J30" s="22">
        <v>9</v>
      </c>
      <c r="K30" s="15">
        <v>10</v>
      </c>
      <c r="L30" s="15">
        <v>-10.47</v>
      </c>
      <c r="M30" s="15">
        <v>5.88</v>
      </c>
      <c r="N30" s="15">
        <f t="shared" si="4"/>
        <v>1.7806122448979593</v>
      </c>
      <c r="O30" s="15">
        <v>5</v>
      </c>
      <c r="P30" s="15">
        <f t="shared" si="11"/>
        <v>8</v>
      </c>
      <c r="Q30" s="15">
        <f t="shared" si="12"/>
        <v>11</v>
      </c>
      <c r="R30" s="15"/>
      <c r="S30" s="15"/>
    </row>
    <row r="31" spans="1:19" x14ac:dyDescent="0.15">
      <c r="A31" s="23">
        <v>4</v>
      </c>
      <c r="B31" s="17">
        <f t="shared" si="13"/>
        <v>11</v>
      </c>
      <c r="C31" s="23">
        <f t="shared" si="14"/>
        <v>18</v>
      </c>
      <c r="D31" s="23">
        <v>1</v>
      </c>
      <c r="E31">
        <v>254.88</v>
      </c>
      <c r="F31" s="38">
        <v>9.19</v>
      </c>
      <c r="G31">
        <f t="shared" si="3"/>
        <v>27.734494015233953</v>
      </c>
      <c r="H31" s="15">
        <v>2</v>
      </c>
      <c r="I31" s="15">
        <v>3</v>
      </c>
      <c r="J31" s="22">
        <v>10</v>
      </c>
      <c r="K31" s="15">
        <v>11</v>
      </c>
      <c r="L31" s="15">
        <v>-4.45</v>
      </c>
      <c r="M31" s="15">
        <v>5.55</v>
      </c>
      <c r="N31" s="15">
        <f t="shared" si="4"/>
        <v>0.80180180180180183</v>
      </c>
      <c r="O31" s="15">
        <v>5</v>
      </c>
      <c r="P31" s="15">
        <f t="shared" si="11"/>
        <v>9</v>
      </c>
      <c r="Q31" s="15">
        <f t="shared" si="12"/>
        <v>13</v>
      </c>
      <c r="R31" s="15"/>
      <c r="S31" s="15"/>
    </row>
    <row r="32" spans="1:19" x14ac:dyDescent="0.15">
      <c r="A32" s="23">
        <v>5</v>
      </c>
      <c r="B32" s="17">
        <f>A32+1</f>
        <v>6</v>
      </c>
      <c r="C32" s="23">
        <f>B32+1</f>
        <v>7</v>
      </c>
      <c r="D32" s="23">
        <f>C32+1</f>
        <v>8</v>
      </c>
      <c r="E32">
        <v>1806.67</v>
      </c>
      <c r="F32">
        <v>8.3000000000000007</v>
      </c>
      <c r="G32">
        <f t="shared" si="3"/>
        <v>217.67108433734938</v>
      </c>
      <c r="H32" s="15">
        <v>2</v>
      </c>
      <c r="I32" s="15">
        <v>3</v>
      </c>
      <c r="J32" s="22">
        <v>11</v>
      </c>
      <c r="K32" s="15">
        <v>12</v>
      </c>
      <c r="L32" s="15">
        <v>-7.81</v>
      </c>
      <c r="M32" s="15">
        <v>5.85</v>
      </c>
      <c r="N32" s="15">
        <f t="shared" si="4"/>
        <v>1.335042735042735</v>
      </c>
      <c r="O32" s="15">
        <v>5</v>
      </c>
      <c r="P32" s="15">
        <f t="shared" si="11"/>
        <v>10</v>
      </c>
      <c r="Q32" s="15">
        <f t="shared" si="12"/>
        <v>15</v>
      </c>
      <c r="R32" s="15"/>
      <c r="S32" s="15"/>
    </row>
    <row r="33" spans="1:19" x14ac:dyDescent="0.15">
      <c r="A33" s="23">
        <v>5</v>
      </c>
      <c r="B33" s="17">
        <f t="shared" ref="B33:B38" si="15">B32+1</f>
        <v>7</v>
      </c>
      <c r="C33" s="23">
        <f t="shared" ref="C33:C38" si="16">C32+2</f>
        <v>9</v>
      </c>
      <c r="D33" s="23">
        <f>D32+3</f>
        <v>11</v>
      </c>
      <c r="E33">
        <v>717.92</v>
      </c>
      <c r="F33">
        <v>5.8</v>
      </c>
      <c r="G33">
        <f t="shared" si="3"/>
        <v>123.77931034482758</v>
      </c>
      <c r="H33" s="15">
        <v>2</v>
      </c>
      <c r="I33" s="15">
        <v>3</v>
      </c>
      <c r="J33" s="22">
        <v>12</v>
      </c>
      <c r="K33" s="15">
        <v>13</v>
      </c>
      <c r="L33" s="15">
        <v>-5.67</v>
      </c>
      <c r="M33" s="15">
        <v>5.79</v>
      </c>
      <c r="N33" s="15">
        <f t="shared" si="4"/>
        <v>0.97927461139896366</v>
      </c>
      <c r="O33" s="15">
        <v>5</v>
      </c>
      <c r="P33" s="15">
        <f t="shared" si="11"/>
        <v>11</v>
      </c>
      <c r="Q33" s="15">
        <f t="shared" si="12"/>
        <v>17</v>
      </c>
      <c r="R33" s="15"/>
      <c r="S33" s="15"/>
    </row>
    <row r="34" spans="1:19" x14ac:dyDescent="0.15">
      <c r="A34" s="23">
        <v>5</v>
      </c>
      <c r="B34" s="17">
        <f t="shared" si="15"/>
        <v>8</v>
      </c>
      <c r="C34" s="23">
        <f t="shared" si="16"/>
        <v>11</v>
      </c>
      <c r="D34" s="23">
        <f>D33+3</f>
        <v>14</v>
      </c>
      <c r="E34">
        <v>754.79</v>
      </c>
      <c r="F34">
        <v>7.88</v>
      </c>
      <c r="G34">
        <f t="shared" si="3"/>
        <v>95.785532994923855</v>
      </c>
      <c r="H34" s="15">
        <v>2</v>
      </c>
      <c r="I34" s="15">
        <v>3</v>
      </c>
      <c r="J34" s="22">
        <v>13</v>
      </c>
      <c r="K34" s="15">
        <v>14</v>
      </c>
      <c r="L34" s="15">
        <v>-5.74</v>
      </c>
      <c r="M34" s="15">
        <v>5.75</v>
      </c>
      <c r="N34" s="15">
        <f t="shared" si="4"/>
        <v>0.99826086956521742</v>
      </c>
      <c r="O34" s="15">
        <v>6</v>
      </c>
      <c r="P34" s="15">
        <v>7</v>
      </c>
      <c r="Q34" s="15">
        <v>8</v>
      </c>
      <c r="R34" s="15"/>
      <c r="S34" s="15"/>
    </row>
    <row r="35" spans="1:19" x14ac:dyDescent="0.15">
      <c r="A35" s="23">
        <v>5</v>
      </c>
      <c r="B35" s="17">
        <f t="shared" si="15"/>
        <v>9</v>
      </c>
      <c r="C35" s="23">
        <f t="shared" si="16"/>
        <v>13</v>
      </c>
      <c r="D35" s="23">
        <f>D34+3</f>
        <v>17</v>
      </c>
      <c r="E35">
        <v>577.78</v>
      </c>
      <c r="F35">
        <v>7.23</v>
      </c>
      <c r="G35">
        <f t="shared" si="3"/>
        <v>79.914246196403866</v>
      </c>
      <c r="H35" s="15">
        <v>2</v>
      </c>
      <c r="I35" s="15">
        <v>3</v>
      </c>
      <c r="J35" s="22">
        <v>14</v>
      </c>
      <c r="K35" s="15">
        <v>15</v>
      </c>
      <c r="L35" s="15">
        <v>-7.11</v>
      </c>
      <c r="M35" s="15">
        <v>6.09</v>
      </c>
      <c r="N35" s="15">
        <f t="shared" si="4"/>
        <v>1.1674876847290641</v>
      </c>
      <c r="O35" s="15">
        <v>6</v>
      </c>
      <c r="P35" s="15">
        <f t="shared" si="11"/>
        <v>8</v>
      </c>
      <c r="Q35" s="15">
        <f t="shared" ref="Q35:Q97" si="17">Q34+2</f>
        <v>10</v>
      </c>
      <c r="R35" s="15"/>
      <c r="S35" s="15"/>
    </row>
    <row r="36" spans="1:19" x14ac:dyDescent="0.15">
      <c r="A36" s="23">
        <v>5</v>
      </c>
      <c r="B36" s="17">
        <f t="shared" si="15"/>
        <v>10</v>
      </c>
      <c r="C36" s="23">
        <f t="shared" si="16"/>
        <v>15</v>
      </c>
      <c r="D36" s="23">
        <f>D35+3</f>
        <v>20</v>
      </c>
      <c r="E36">
        <v>494.69</v>
      </c>
      <c r="F36">
        <v>7.38</v>
      </c>
      <c r="G36">
        <f t="shared" si="3"/>
        <v>67.031165311653112</v>
      </c>
      <c r="H36" s="15">
        <v>2</v>
      </c>
      <c r="I36" s="15">
        <v>3</v>
      </c>
      <c r="J36" s="22">
        <v>15</v>
      </c>
      <c r="K36" s="15">
        <v>16</v>
      </c>
      <c r="L36" s="15">
        <v>-7.25</v>
      </c>
      <c r="M36" s="15">
        <v>6.18</v>
      </c>
      <c r="N36" s="15">
        <f t="shared" si="4"/>
        <v>1.1731391585760518</v>
      </c>
      <c r="O36" s="15">
        <v>6</v>
      </c>
      <c r="P36" s="15">
        <f t="shared" si="11"/>
        <v>9</v>
      </c>
      <c r="Q36" s="15">
        <f t="shared" si="17"/>
        <v>12</v>
      </c>
      <c r="R36" s="15"/>
      <c r="S36" s="15"/>
    </row>
    <row r="37" spans="1:19" x14ac:dyDescent="0.15">
      <c r="A37" s="23">
        <v>5</v>
      </c>
      <c r="B37" s="17">
        <f t="shared" si="15"/>
        <v>11</v>
      </c>
      <c r="C37" s="23">
        <f t="shared" si="16"/>
        <v>17</v>
      </c>
      <c r="D37" s="23">
        <f>D36+3</f>
        <v>23</v>
      </c>
      <c r="E37">
        <v>294.14999999999998</v>
      </c>
      <c r="F37">
        <v>5.84</v>
      </c>
      <c r="G37">
        <f t="shared" si="3"/>
        <v>50.368150684931507</v>
      </c>
      <c r="H37" s="15">
        <v>2</v>
      </c>
      <c r="I37" s="15">
        <v>3</v>
      </c>
      <c r="J37" s="22">
        <v>16</v>
      </c>
      <c r="K37" s="15">
        <v>17</v>
      </c>
      <c r="L37" s="15">
        <v>-7.1</v>
      </c>
      <c r="M37" s="15">
        <v>6</v>
      </c>
      <c r="N37" s="15">
        <f t="shared" si="4"/>
        <v>1.1833333333333333</v>
      </c>
      <c r="O37" s="15">
        <v>6</v>
      </c>
      <c r="P37" s="15">
        <f t="shared" si="11"/>
        <v>10</v>
      </c>
      <c r="Q37" s="15">
        <f t="shared" si="17"/>
        <v>14</v>
      </c>
      <c r="R37" s="15"/>
      <c r="S37" s="15"/>
    </row>
    <row r="38" spans="1:19" x14ac:dyDescent="0.15">
      <c r="A38" s="23">
        <v>5</v>
      </c>
      <c r="B38" s="17">
        <f t="shared" si="15"/>
        <v>12</v>
      </c>
      <c r="C38" s="23">
        <f t="shared" si="16"/>
        <v>19</v>
      </c>
      <c r="D38" s="23">
        <v>2</v>
      </c>
      <c r="E38">
        <v>230.26</v>
      </c>
      <c r="F38" s="38">
        <v>8.1199999999999992</v>
      </c>
      <c r="G38">
        <f t="shared" si="3"/>
        <v>28.357142857142858</v>
      </c>
      <c r="H38" s="15">
        <v>2</v>
      </c>
      <c r="I38" s="15">
        <v>3</v>
      </c>
      <c r="J38" s="22">
        <v>17</v>
      </c>
      <c r="K38" s="15">
        <v>18</v>
      </c>
      <c r="L38" s="15">
        <v>-7.67</v>
      </c>
      <c r="M38" s="15">
        <v>6.1</v>
      </c>
      <c r="N38" s="15">
        <f t="shared" si="4"/>
        <v>1.257377049180328</v>
      </c>
      <c r="O38" s="15">
        <v>6</v>
      </c>
      <c r="P38" s="15">
        <f t="shared" si="11"/>
        <v>11</v>
      </c>
      <c r="Q38" s="15">
        <f t="shared" si="17"/>
        <v>16</v>
      </c>
      <c r="R38" s="15"/>
      <c r="S38" s="15"/>
    </row>
    <row r="39" spans="1:19" x14ac:dyDescent="0.15">
      <c r="A39" s="23">
        <v>6</v>
      </c>
      <c r="B39" s="17">
        <f>A39+1</f>
        <v>7</v>
      </c>
      <c r="C39" s="23">
        <f>B39+1</f>
        <v>8</v>
      </c>
      <c r="D39" s="23">
        <f>C39+1</f>
        <v>9</v>
      </c>
      <c r="E39">
        <v>1536.4</v>
      </c>
      <c r="F39">
        <v>7.09</v>
      </c>
      <c r="G39">
        <f t="shared" si="3"/>
        <v>216.69957686882935</v>
      </c>
      <c r="H39" s="15">
        <v>2</v>
      </c>
      <c r="I39" s="15">
        <v>3</v>
      </c>
      <c r="J39" s="22">
        <v>18</v>
      </c>
      <c r="K39" s="15">
        <v>19</v>
      </c>
      <c r="L39" s="15">
        <v>-10.79</v>
      </c>
      <c r="M39" s="15">
        <v>6.29</v>
      </c>
      <c r="N39" s="15">
        <f t="shared" si="4"/>
        <v>1.7154213036565977</v>
      </c>
      <c r="O39" s="15">
        <v>6</v>
      </c>
      <c r="P39" s="15">
        <f t="shared" si="11"/>
        <v>12</v>
      </c>
      <c r="Q39" s="15">
        <f t="shared" si="17"/>
        <v>18</v>
      </c>
      <c r="R39" s="15"/>
      <c r="S39" s="15"/>
    </row>
    <row r="40" spans="1:19" x14ac:dyDescent="0.15">
      <c r="A40" s="23">
        <v>6</v>
      </c>
      <c r="B40" s="17">
        <f t="shared" ref="B40:B45" si="18">B39+1</f>
        <v>8</v>
      </c>
      <c r="C40" s="23">
        <f t="shared" ref="C40:C45" si="19">C39+2</f>
        <v>10</v>
      </c>
      <c r="D40" s="23">
        <f>D39+3</f>
        <v>12</v>
      </c>
      <c r="E40">
        <v>980.19</v>
      </c>
      <c r="F40">
        <v>8.06</v>
      </c>
      <c r="G40">
        <f t="shared" si="3"/>
        <v>121.61166253101737</v>
      </c>
      <c r="H40" s="15">
        <v>2</v>
      </c>
      <c r="I40" s="15">
        <v>3</v>
      </c>
      <c r="J40" s="22">
        <v>19</v>
      </c>
      <c r="K40" s="15">
        <v>20</v>
      </c>
      <c r="L40" s="15">
        <v>-9.57</v>
      </c>
      <c r="M40" s="15">
        <v>6.03</v>
      </c>
      <c r="N40" s="15">
        <f t="shared" si="4"/>
        <v>1.5870646766169154</v>
      </c>
      <c r="O40" s="15">
        <v>7</v>
      </c>
      <c r="P40" s="15">
        <v>8</v>
      </c>
      <c r="Q40" s="15">
        <v>9</v>
      </c>
      <c r="R40" s="15"/>
      <c r="S40" s="15"/>
    </row>
    <row r="41" spans="1:19" x14ac:dyDescent="0.15">
      <c r="A41" s="23">
        <v>6</v>
      </c>
      <c r="B41" s="17">
        <f t="shared" si="18"/>
        <v>9</v>
      </c>
      <c r="C41" s="23">
        <f t="shared" si="19"/>
        <v>12</v>
      </c>
      <c r="D41" s="23">
        <f>D40+3</f>
        <v>15</v>
      </c>
      <c r="E41">
        <v>676.88</v>
      </c>
      <c r="F41">
        <v>7.06</v>
      </c>
      <c r="G41">
        <f t="shared" si="3"/>
        <v>95.875354107648732</v>
      </c>
      <c r="H41" s="15">
        <v>2</v>
      </c>
      <c r="I41" s="15">
        <v>3</v>
      </c>
      <c r="J41" s="22">
        <v>20</v>
      </c>
      <c r="K41" s="15">
        <v>21</v>
      </c>
      <c r="L41" s="15">
        <v>-12.23</v>
      </c>
      <c r="M41" s="15">
        <v>5.0999999999999996</v>
      </c>
      <c r="N41" s="15">
        <f t="shared" si="4"/>
        <v>2.3980392156862749</v>
      </c>
      <c r="O41" s="15">
        <v>7</v>
      </c>
      <c r="P41" s="15">
        <f t="shared" si="11"/>
        <v>9</v>
      </c>
      <c r="Q41" s="15">
        <f t="shared" si="17"/>
        <v>11</v>
      </c>
      <c r="R41" s="15"/>
      <c r="S41" s="15"/>
    </row>
    <row r="42" spans="1:19" x14ac:dyDescent="0.15">
      <c r="A42" s="23">
        <v>6</v>
      </c>
      <c r="B42" s="17">
        <f t="shared" si="18"/>
        <v>10</v>
      </c>
      <c r="C42" s="23">
        <f t="shared" si="19"/>
        <v>14</v>
      </c>
      <c r="D42" s="23">
        <f>D41+3</f>
        <v>18</v>
      </c>
      <c r="E42">
        <v>598.66999999999996</v>
      </c>
      <c r="F42">
        <v>7.39</v>
      </c>
      <c r="G42">
        <f t="shared" si="3"/>
        <v>81.010825439783488</v>
      </c>
      <c r="H42" s="15">
        <v>2</v>
      </c>
      <c r="I42" s="15">
        <v>3</v>
      </c>
      <c r="J42" s="22">
        <v>21</v>
      </c>
      <c r="K42" s="15">
        <v>22</v>
      </c>
      <c r="L42" s="15">
        <v>-20</v>
      </c>
      <c r="M42" s="15">
        <v>5.51</v>
      </c>
      <c r="N42" s="15">
        <f t="shared" si="4"/>
        <v>3.6297640653357535</v>
      </c>
      <c r="O42" s="15">
        <v>7</v>
      </c>
      <c r="P42" s="15">
        <f t="shared" si="11"/>
        <v>10</v>
      </c>
      <c r="Q42" s="15">
        <f t="shared" si="17"/>
        <v>13</v>
      </c>
      <c r="R42" s="15"/>
      <c r="S42" s="15"/>
    </row>
    <row r="43" spans="1:19" x14ac:dyDescent="0.15">
      <c r="A43" s="23">
        <v>6</v>
      </c>
      <c r="B43" s="17">
        <f t="shared" si="18"/>
        <v>11</v>
      </c>
      <c r="C43" s="23">
        <f t="shared" si="19"/>
        <v>16</v>
      </c>
      <c r="D43" s="23">
        <f>D42+3</f>
        <v>21</v>
      </c>
      <c r="E43">
        <v>460.29</v>
      </c>
      <c r="F43">
        <v>7.03</v>
      </c>
      <c r="G43">
        <f t="shared" si="3"/>
        <v>65.475106685633008</v>
      </c>
      <c r="H43" s="15">
        <v>2</v>
      </c>
      <c r="I43" s="15">
        <v>3</v>
      </c>
      <c r="J43" s="22">
        <v>22</v>
      </c>
      <c r="K43" s="15">
        <v>23</v>
      </c>
      <c r="L43" s="15">
        <v>-30.02</v>
      </c>
      <c r="M43" s="15">
        <v>5.35</v>
      </c>
      <c r="N43" s="15">
        <f t="shared" si="4"/>
        <v>5.6112149532710287</v>
      </c>
      <c r="O43" s="15">
        <v>7</v>
      </c>
      <c r="P43" s="15">
        <f t="shared" si="11"/>
        <v>11</v>
      </c>
      <c r="Q43" s="15">
        <f t="shared" si="17"/>
        <v>15</v>
      </c>
      <c r="R43" s="15"/>
      <c r="S43" s="15"/>
    </row>
    <row r="44" spans="1:19" x14ac:dyDescent="0.15">
      <c r="A44" s="23">
        <v>6</v>
      </c>
      <c r="B44" s="17">
        <f t="shared" si="18"/>
        <v>12</v>
      </c>
      <c r="C44" s="23">
        <f t="shared" si="19"/>
        <v>18</v>
      </c>
      <c r="D44" s="23">
        <f>D43+3</f>
        <v>24</v>
      </c>
      <c r="E44">
        <v>364.36</v>
      </c>
      <c r="F44">
        <v>7.37</v>
      </c>
      <c r="G44">
        <f t="shared" si="3"/>
        <v>49.438263229308006</v>
      </c>
      <c r="H44" s="15">
        <v>2</v>
      </c>
      <c r="I44" s="15">
        <v>3</v>
      </c>
      <c r="J44" s="22">
        <v>23</v>
      </c>
      <c r="K44" s="15">
        <v>24</v>
      </c>
      <c r="L44" s="15">
        <v>-80.42</v>
      </c>
      <c r="M44" s="15">
        <v>5.33</v>
      </c>
      <c r="N44" s="15">
        <f t="shared" si="4"/>
        <v>15.088180112570356</v>
      </c>
      <c r="O44" s="15">
        <v>7</v>
      </c>
      <c r="P44" s="15">
        <f t="shared" si="11"/>
        <v>12</v>
      </c>
      <c r="Q44" s="15">
        <f t="shared" si="17"/>
        <v>17</v>
      </c>
      <c r="R44" s="15"/>
      <c r="S44" s="15"/>
    </row>
    <row r="45" spans="1:19" x14ac:dyDescent="0.15">
      <c r="A45" s="23">
        <v>6</v>
      </c>
      <c r="B45" s="17">
        <f t="shared" si="18"/>
        <v>13</v>
      </c>
      <c r="C45" s="23">
        <f t="shared" si="19"/>
        <v>20</v>
      </c>
      <c r="D45" s="23">
        <v>3</v>
      </c>
      <c r="E45">
        <v>124.43</v>
      </c>
      <c r="F45" s="38">
        <v>4.3</v>
      </c>
      <c r="G45">
        <f t="shared" si="3"/>
        <v>28.937209302325584</v>
      </c>
      <c r="H45" s="15">
        <v>2</v>
      </c>
      <c r="I45" s="15">
        <v>3</v>
      </c>
      <c r="J45" s="22">
        <v>24</v>
      </c>
      <c r="K45" s="15">
        <v>1</v>
      </c>
      <c r="L45" s="15">
        <v>-323.64</v>
      </c>
      <c r="M45" s="15">
        <v>5.05</v>
      </c>
      <c r="N45" s="15">
        <f t="shared" si="4"/>
        <v>64.087128712871291</v>
      </c>
      <c r="O45" s="15">
        <v>7</v>
      </c>
      <c r="P45" s="15">
        <f t="shared" si="11"/>
        <v>13</v>
      </c>
      <c r="Q45" s="15">
        <f t="shared" si="17"/>
        <v>19</v>
      </c>
      <c r="R45" s="15"/>
      <c r="S45" s="15"/>
    </row>
    <row r="46" spans="1:19" x14ac:dyDescent="0.15">
      <c r="A46" s="23">
        <v>7</v>
      </c>
      <c r="B46" s="17">
        <f>A46+1</f>
        <v>8</v>
      </c>
      <c r="C46" s="23">
        <f>B46+1</f>
        <v>9</v>
      </c>
      <c r="D46" s="23">
        <f>C46+1</f>
        <v>10</v>
      </c>
      <c r="E46">
        <v>1599.34</v>
      </c>
      <c r="F46">
        <v>7.64</v>
      </c>
      <c r="G46">
        <f t="shared" si="3"/>
        <v>209.33769633507853</v>
      </c>
      <c r="H46" s="15">
        <v>3</v>
      </c>
      <c r="I46" s="15">
        <v>4</v>
      </c>
      <c r="J46" s="15">
        <v>5</v>
      </c>
      <c r="K46" s="15">
        <v>6</v>
      </c>
      <c r="L46" s="15">
        <v>-349.66</v>
      </c>
      <c r="M46" s="15">
        <v>5.69</v>
      </c>
      <c r="N46" s="15">
        <f t="shared" si="4"/>
        <v>61.451669595782072</v>
      </c>
      <c r="O46" s="15">
        <v>8</v>
      </c>
      <c r="P46" s="15">
        <v>9</v>
      </c>
      <c r="Q46" s="15">
        <v>10</v>
      </c>
      <c r="R46" s="15"/>
      <c r="S46" s="15"/>
    </row>
    <row r="47" spans="1:19" x14ac:dyDescent="0.15">
      <c r="A47" s="23">
        <v>7</v>
      </c>
      <c r="B47" s="17">
        <f t="shared" ref="B47:B52" si="20">B46+1</f>
        <v>9</v>
      </c>
      <c r="C47" s="23">
        <f t="shared" ref="C47:C52" si="21">C46+2</f>
        <v>11</v>
      </c>
      <c r="D47" s="23">
        <f>D46+3</f>
        <v>13</v>
      </c>
      <c r="E47">
        <v>896.03</v>
      </c>
      <c r="F47">
        <v>7.29</v>
      </c>
      <c r="G47">
        <f t="shared" si="3"/>
        <v>122.91220850480109</v>
      </c>
      <c r="H47" s="15">
        <v>3</v>
      </c>
      <c r="I47" s="15">
        <v>4</v>
      </c>
      <c r="J47" s="15">
        <v>6</v>
      </c>
      <c r="K47" s="15">
        <v>7</v>
      </c>
      <c r="L47" s="15">
        <v>-94.33</v>
      </c>
      <c r="M47" s="15">
        <v>5.61</v>
      </c>
      <c r="N47" s="15">
        <f t="shared" si="4"/>
        <v>16.814616755793224</v>
      </c>
      <c r="O47" s="15">
        <v>8</v>
      </c>
      <c r="P47" s="15">
        <f t="shared" si="11"/>
        <v>10</v>
      </c>
      <c r="Q47" s="15">
        <f t="shared" si="17"/>
        <v>12</v>
      </c>
      <c r="R47" s="15"/>
      <c r="S47" s="15"/>
    </row>
    <row r="48" spans="1:19" x14ac:dyDescent="0.15">
      <c r="A48" s="23">
        <v>7</v>
      </c>
      <c r="B48" s="17">
        <f t="shared" si="20"/>
        <v>10</v>
      </c>
      <c r="C48" s="23">
        <f t="shared" si="21"/>
        <v>13</v>
      </c>
      <c r="D48" s="23">
        <f>D47+3</f>
        <v>16</v>
      </c>
      <c r="E48">
        <v>695.16</v>
      </c>
      <c r="F48">
        <v>7.28</v>
      </c>
      <c r="G48">
        <f t="shared" si="3"/>
        <v>95.489010989010978</v>
      </c>
      <c r="H48" s="15">
        <v>3</v>
      </c>
      <c r="I48" s="15">
        <v>4</v>
      </c>
      <c r="J48" s="15">
        <v>7</v>
      </c>
      <c r="K48" s="15">
        <v>8</v>
      </c>
      <c r="L48" s="15">
        <v>-40.93</v>
      </c>
      <c r="M48" s="15">
        <v>5.51</v>
      </c>
      <c r="N48" s="15">
        <f t="shared" si="4"/>
        <v>7.4283121597096189</v>
      </c>
      <c r="O48" s="15">
        <v>8</v>
      </c>
      <c r="P48" s="15">
        <f t="shared" si="11"/>
        <v>11</v>
      </c>
      <c r="Q48" s="15">
        <f t="shared" si="17"/>
        <v>14</v>
      </c>
      <c r="R48" s="15"/>
      <c r="S48" s="15"/>
    </row>
    <row r="49" spans="1:19" x14ac:dyDescent="0.15">
      <c r="A49" s="23">
        <v>7</v>
      </c>
      <c r="B49" s="17">
        <f t="shared" si="20"/>
        <v>11</v>
      </c>
      <c r="C49" s="23">
        <f t="shared" si="21"/>
        <v>15</v>
      </c>
      <c r="D49" s="23">
        <f>D48+3</f>
        <v>19</v>
      </c>
      <c r="E49">
        <v>429.3</v>
      </c>
      <c r="F49">
        <v>5.48</v>
      </c>
      <c r="G49">
        <f t="shared" si="3"/>
        <v>78.33941605839415</v>
      </c>
      <c r="H49" s="15">
        <v>3</v>
      </c>
      <c r="I49" s="15">
        <v>4</v>
      </c>
      <c r="J49" s="15">
        <v>8</v>
      </c>
      <c r="K49" s="15">
        <v>9</v>
      </c>
      <c r="L49" s="15">
        <v>-20.92</v>
      </c>
      <c r="M49" s="15">
        <v>5.38</v>
      </c>
      <c r="N49" s="15">
        <f t="shared" si="4"/>
        <v>3.8884758364312271</v>
      </c>
      <c r="O49" s="15">
        <v>8</v>
      </c>
      <c r="P49" s="15">
        <f t="shared" si="11"/>
        <v>12</v>
      </c>
      <c r="Q49" s="15">
        <f t="shared" si="17"/>
        <v>16</v>
      </c>
      <c r="R49" s="15"/>
      <c r="S49" s="15"/>
    </row>
    <row r="50" spans="1:19" x14ac:dyDescent="0.15">
      <c r="A50" s="23">
        <v>7</v>
      </c>
      <c r="B50" s="17">
        <f t="shared" si="20"/>
        <v>12</v>
      </c>
      <c r="C50" s="23">
        <f t="shared" si="21"/>
        <v>17</v>
      </c>
      <c r="D50" s="23">
        <f>D49+3</f>
        <v>22</v>
      </c>
      <c r="E50">
        <v>364.81</v>
      </c>
      <c r="F50">
        <v>5.49</v>
      </c>
      <c r="G50">
        <f t="shared" si="3"/>
        <v>66.449908925318766</v>
      </c>
      <c r="H50" s="15">
        <v>3</v>
      </c>
      <c r="I50" s="15">
        <v>4</v>
      </c>
      <c r="J50" s="15">
        <v>9</v>
      </c>
      <c r="K50" s="15">
        <v>10</v>
      </c>
      <c r="L50" s="15">
        <v>-15.25</v>
      </c>
      <c r="M50" s="15">
        <v>5.16</v>
      </c>
      <c r="N50" s="15">
        <f t="shared" si="4"/>
        <v>2.9554263565891472</v>
      </c>
      <c r="O50" s="15">
        <v>8</v>
      </c>
      <c r="P50" s="15">
        <f t="shared" si="11"/>
        <v>13</v>
      </c>
      <c r="Q50" s="15">
        <f t="shared" si="17"/>
        <v>18</v>
      </c>
      <c r="R50" s="15"/>
      <c r="S50" s="15"/>
    </row>
    <row r="51" spans="1:19" x14ac:dyDescent="0.15">
      <c r="A51" s="23">
        <v>7</v>
      </c>
      <c r="B51" s="17">
        <f t="shared" si="20"/>
        <v>13</v>
      </c>
      <c r="C51" s="23">
        <f t="shared" si="21"/>
        <v>19</v>
      </c>
      <c r="D51" s="23">
        <v>1</v>
      </c>
      <c r="E51">
        <v>365.89</v>
      </c>
      <c r="F51" s="38">
        <v>7.44</v>
      </c>
      <c r="G51">
        <f t="shared" si="3"/>
        <v>49.178763440860209</v>
      </c>
      <c r="H51" s="15">
        <v>3</v>
      </c>
      <c r="I51" s="15">
        <v>4</v>
      </c>
      <c r="J51" s="15">
        <v>10</v>
      </c>
      <c r="K51" s="15">
        <v>11</v>
      </c>
      <c r="L51" s="15">
        <v>-19.829999999999998</v>
      </c>
      <c r="M51" s="15">
        <v>5.39</v>
      </c>
      <c r="N51" s="15">
        <f t="shared" si="4"/>
        <v>3.679035250463822</v>
      </c>
      <c r="O51" s="15">
        <v>8</v>
      </c>
      <c r="P51" s="15">
        <f t="shared" si="11"/>
        <v>14</v>
      </c>
      <c r="Q51" s="15">
        <f t="shared" si="17"/>
        <v>20</v>
      </c>
      <c r="R51" s="15"/>
      <c r="S51" s="15"/>
    </row>
    <row r="52" spans="1:19" x14ac:dyDescent="0.15">
      <c r="A52" s="23">
        <v>7</v>
      </c>
      <c r="B52" s="17">
        <f t="shared" si="20"/>
        <v>14</v>
      </c>
      <c r="C52" s="23">
        <f t="shared" si="21"/>
        <v>21</v>
      </c>
      <c r="D52" s="23">
        <f>D51+3</f>
        <v>4</v>
      </c>
      <c r="E52">
        <v>197.13</v>
      </c>
      <c r="F52">
        <v>6.79</v>
      </c>
      <c r="G52">
        <f t="shared" si="3"/>
        <v>29.03240058910162</v>
      </c>
      <c r="H52" s="15">
        <v>3</v>
      </c>
      <c r="I52" s="15">
        <v>4</v>
      </c>
      <c r="J52" s="15">
        <v>11</v>
      </c>
      <c r="K52" s="15">
        <v>12</v>
      </c>
      <c r="L52" s="15">
        <v>-8.57</v>
      </c>
      <c r="M52" s="15">
        <v>5.42</v>
      </c>
      <c r="N52" s="15">
        <f t="shared" si="4"/>
        <v>1.5811808118081181</v>
      </c>
      <c r="O52" s="15">
        <v>9</v>
      </c>
      <c r="P52" s="15">
        <v>10</v>
      </c>
      <c r="Q52" s="15">
        <v>11</v>
      </c>
      <c r="R52" s="15"/>
      <c r="S52" s="15"/>
    </row>
    <row r="53" spans="1:19" x14ac:dyDescent="0.15">
      <c r="A53" s="23">
        <v>8</v>
      </c>
      <c r="B53" s="17">
        <f>A53+1</f>
        <v>9</v>
      </c>
      <c r="C53" s="23">
        <f>B53+1</f>
        <v>10</v>
      </c>
      <c r="D53" s="23">
        <f>C53+1</f>
        <v>11</v>
      </c>
      <c r="E53">
        <v>1279.54</v>
      </c>
      <c r="F53">
        <v>5.97</v>
      </c>
      <c r="G53">
        <f t="shared" si="3"/>
        <v>214.32830820770519</v>
      </c>
      <c r="H53" s="15">
        <v>3</v>
      </c>
      <c r="I53" s="15">
        <v>4</v>
      </c>
      <c r="J53" s="15">
        <v>12</v>
      </c>
      <c r="K53" s="15">
        <v>13</v>
      </c>
      <c r="L53" s="15">
        <v>-10.8</v>
      </c>
      <c r="M53" s="15">
        <v>5.39</v>
      </c>
      <c r="N53" s="15">
        <f t="shared" si="4"/>
        <v>2.0037105751391469</v>
      </c>
      <c r="O53" s="15">
        <v>9</v>
      </c>
      <c r="P53" s="15">
        <f t="shared" si="11"/>
        <v>11</v>
      </c>
      <c r="Q53" s="15">
        <f t="shared" si="17"/>
        <v>13</v>
      </c>
      <c r="R53" s="15"/>
      <c r="S53" s="15"/>
    </row>
    <row r="54" spans="1:19" x14ac:dyDescent="0.15">
      <c r="A54" s="23">
        <v>8</v>
      </c>
      <c r="B54" s="17">
        <f t="shared" ref="B54:B59" si="22">B53+1</f>
        <v>10</v>
      </c>
      <c r="C54" s="23">
        <f t="shared" ref="C54:C59" si="23">C53+2</f>
        <v>12</v>
      </c>
      <c r="D54" s="23">
        <f>D53+3</f>
        <v>14</v>
      </c>
      <c r="E54">
        <v>1027.67</v>
      </c>
      <c r="F54">
        <v>8.17</v>
      </c>
      <c r="G54">
        <f t="shared" si="3"/>
        <v>125.7858017135863</v>
      </c>
      <c r="H54" s="15">
        <v>3</v>
      </c>
      <c r="I54" s="15">
        <v>4</v>
      </c>
      <c r="J54" s="15">
        <v>13</v>
      </c>
      <c r="K54" s="15">
        <v>14</v>
      </c>
      <c r="L54" s="15">
        <v>-8.2799999999999994</v>
      </c>
      <c r="M54" s="15">
        <v>5.49</v>
      </c>
      <c r="N54" s="15">
        <f t="shared" si="4"/>
        <v>1.5081967213114753</v>
      </c>
      <c r="O54" s="15">
        <v>9</v>
      </c>
      <c r="P54" s="15">
        <f t="shared" si="11"/>
        <v>12</v>
      </c>
      <c r="Q54" s="15">
        <f t="shared" si="17"/>
        <v>15</v>
      </c>
      <c r="R54" s="15"/>
      <c r="S54" s="15"/>
    </row>
    <row r="55" spans="1:19" x14ac:dyDescent="0.15">
      <c r="A55" s="23">
        <v>8</v>
      </c>
      <c r="B55" s="17">
        <f t="shared" si="22"/>
        <v>11</v>
      </c>
      <c r="C55" s="23">
        <f t="shared" si="23"/>
        <v>14</v>
      </c>
      <c r="D55" s="23">
        <f>D54+3</f>
        <v>17</v>
      </c>
      <c r="E55">
        <v>758.5</v>
      </c>
      <c r="F55">
        <v>7.77</v>
      </c>
      <c r="G55">
        <f t="shared" si="3"/>
        <v>97.61904761904762</v>
      </c>
      <c r="H55" s="15">
        <v>3</v>
      </c>
      <c r="I55" s="15">
        <v>4</v>
      </c>
      <c r="J55" s="15">
        <v>14</v>
      </c>
      <c r="K55" s="15">
        <v>15</v>
      </c>
      <c r="L55" s="15">
        <v>-6.85</v>
      </c>
      <c r="M55" s="15">
        <v>5.36</v>
      </c>
      <c r="N55" s="15">
        <f t="shared" si="4"/>
        <v>1.2779850746268655</v>
      </c>
      <c r="O55" s="15">
        <v>9</v>
      </c>
      <c r="P55" s="15">
        <f t="shared" si="11"/>
        <v>13</v>
      </c>
      <c r="Q55" s="15">
        <f t="shared" si="17"/>
        <v>17</v>
      </c>
      <c r="R55" s="15"/>
      <c r="S55" s="15"/>
    </row>
    <row r="56" spans="1:19" x14ac:dyDescent="0.15">
      <c r="A56" s="23">
        <v>8</v>
      </c>
      <c r="B56" s="17">
        <f t="shared" si="22"/>
        <v>12</v>
      </c>
      <c r="C56" s="23">
        <f t="shared" si="23"/>
        <v>16</v>
      </c>
      <c r="D56" s="23">
        <f>D55+3</f>
        <v>20</v>
      </c>
      <c r="E56">
        <v>679.25</v>
      </c>
      <c r="F56">
        <v>8.2200000000000006</v>
      </c>
      <c r="G56">
        <f t="shared" si="3"/>
        <v>82.633819951338197</v>
      </c>
      <c r="H56" s="15">
        <v>3</v>
      </c>
      <c r="I56" s="15">
        <v>4</v>
      </c>
      <c r="J56" s="15">
        <v>15</v>
      </c>
      <c r="K56" s="15">
        <v>16</v>
      </c>
      <c r="L56" s="15">
        <v>-6.84</v>
      </c>
      <c r="M56" s="15">
        <v>5.23</v>
      </c>
      <c r="N56" s="15">
        <f t="shared" si="4"/>
        <v>1.3078393881453154</v>
      </c>
      <c r="O56" s="15">
        <v>9</v>
      </c>
      <c r="P56" s="15">
        <f t="shared" si="11"/>
        <v>14</v>
      </c>
      <c r="Q56" s="15">
        <f t="shared" si="17"/>
        <v>19</v>
      </c>
      <c r="R56" s="15"/>
      <c r="S56" s="15"/>
    </row>
    <row r="57" spans="1:19" x14ac:dyDescent="0.15">
      <c r="A57" s="23">
        <v>8</v>
      </c>
      <c r="B57" s="17">
        <f t="shared" si="22"/>
        <v>13</v>
      </c>
      <c r="C57" s="23">
        <f t="shared" si="23"/>
        <v>18</v>
      </c>
      <c r="D57" s="23">
        <f>D56+3</f>
        <v>23</v>
      </c>
      <c r="E57">
        <v>378.39</v>
      </c>
      <c r="F57">
        <v>5.78</v>
      </c>
      <c r="G57">
        <f t="shared" si="3"/>
        <v>65.465397923875429</v>
      </c>
      <c r="H57" s="15">
        <v>3</v>
      </c>
      <c r="I57" s="15">
        <v>4</v>
      </c>
      <c r="J57" s="15">
        <v>16</v>
      </c>
      <c r="K57" s="15">
        <v>17</v>
      </c>
      <c r="L57" s="15">
        <v>-7.08</v>
      </c>
      <c r="M57" s="15">
        <v>5.2</v>
      </c>
      <c r="N57" s="15">
        <f t="shared" si="4"/>
        <v>1.3615384615384616</v>
      </c>
      <c r="O57" s="15">
        <v>9</v>
      </c>
      <c r="P57" s="15">
        <f t="shared" si="11"/>
        <v>15</v>
      </c>
      <c r="Q57" s="15">
        <f t="shared" si="17"/>
        <v>21</v>
      </c>
      <c r="R57" s="15"/>
      <c r="S57" s="15"/>
    </row>
    <row r="58" spans="1:19" x14ac:dyDescent="0.15">
      <c r="A58" s="23">
        <v>8</v>
      </c>
      <c r="B58" s="17">
        <f t="shared" si="22"/>
        <v>14</v>
      </c>
      <c r="C58" s="23">
        <f t="shared" si="23"/>
        <v>20</v>
      </c>
      <c r="D58" s="23">
        <v>2</v>
      </c>
      <c r="E58">
        <v>440.19</v>
      </c>
      <c r="F58" s="38">
        <v>8.8000000000000007</v>
      </c>
      <c r="G58">
        <f t="shared" si="3"/>
        <v>50.021590909090904</v>
      </c>
      <c r="H58" s="15">
        <v>3</v>
      </c>
      <c r="I58" s="15">
        <v>4</v>
      </c>
      <c r="J58" s="15">
        <v>17</v>
      </c>
      <c r="K58" s="15">
        <v>18</v>
      </c>
      <c r="L58" s="15">
        <v>-7.66</v>
      </c>
      <c r="M58" s="15">
        <v>5.09</v>
      </c>
      <c r="N58" s="15">
        <f t="shared" si="4"/>
        <v>1.5049115913555993</v>
      </c>
      <c r="O58" s="15">
        <v>10</v>
      </c>
      <c r="P58" s="15">
        <v>11</v>
      </c>
      <c r="Q58" s="15">
        <v>12</v>
      </c>
      <c r="R58" s="15"/>
      <c r="S58" s="15"/>
    </row>
    <row r="59" spans="1:19" x14ac:dyDescent="0.15">
      <c r="A59" s="23">
        <v>8</v>
      </c>
      <c r="B59" s="17">
        <f t="shared" si="22"/>
        <v>15</v>
      </c>
      <c r="C59" s="23">
        <f t="shared" si="23"/>
        <v>22</v>
      </c>
      <c r="D59" s="23">
        <f>D58+3</f>
        <v>5</v>
      </c>
      <c r="E59">
        <v>232.51</v>
      </c>
      <c r="F59">
        <v>8</v>
      </c>
      <c r="G59">
        <f t="shared" si="3"/>
        <v>29.063749999999999</v>
      </c>
      <c r="H59" s="15">
        <v>3</v>
      </c>
      <c r="I59" s="15">
        <v>4</v>
      </c>
      <c r="J59" s="15">
        <v>18</v>
      </c>
      <c r="K59" s="15">
        <v>19</v>
      </c>
      <c r="L59" s="15">
        <v>-10.31</v>
      </c>
      <c r="M59" s="15">
        <v>5.49</v>
      </c>
      <c r="N59" s="15">
        <f t="shared" si="4"/>
        <v>1.8779599271402549</v>
      </c>
      <c r="O59" s="15">
        <v>10</v>
      </c>
      <c r="P59" s="15">
        <f t="shared" si="11"/>
        <v>12</v>
      </c>
      <c r="Q59" s="15">
        <f t="shared" si="17"/>
        <v>14</v>
      </c>
      <c r="R59" s="15"/>
      <c r="S59" s="15"/>
    </row>
    <row r="60" spans="1:19" x14ac:dyDescent="0.15">
      <c r="A60" s="23">
        <v>9</v>
      </c>
      <c r="B60" s="17">
        <f>A60+1</f>
        <v>10</v>
      </c>
      <c r="C60" s="23">
        <f>B60+1</f>
        <v>11</v>
      </c>
      <c r="D60" s="23">
        <f>C60+1</f>
        <v>12</v>
      </c>
      <c r="E60">
        <v>1899.44</v>
      </c>
      <c r="F60">
        <v>8.86</v>
      </c>
      <c r="G60">
        <f t="shared" si="3"/>
        <v>214.3837471783296</v>
      </c>
      <c r="H60" s="15">
        <v>3</v>
      </c>
      <c r="I60" s="15">
        <v>4</v>
      </c>
      <c r="J60" s="15">
        <v>19</v>
      </c>
      <c r="K60" s="15">
        <v>20</v>
      </c>
      <c r="L60" s="15">
        <v>-9</v>
      </c>
      <c r="M60" s="15">
        <v>5.27</v>
      </c>
      <c r="N60" s="15">
        <f t="shared" si="4"/>
        <v>1.7077798861480078</v>
      </c>
      <c r="O60" s="15">
        <v>10</v>
      </c>
      <c r="P60" s="15">
        <f t="shared" si="11"/>
        <v>13</v>
      </c>
      <c r="Q60" s="15">
        <f t="shared" si="17"/>
        <v>16</v>
      </c>
      <c r="R60" s="15"/>
      <c r="S60" s="15"/>
    </row>
    <row r="61" spans="1:19" x14ac:dyDescent="0.15">
      <c r="A61" s="23">
        <v>9</v>
      </c>
      <c r="B61" s="17">
        <f t="shared" ref="B61:B66" si="24">B60+1</f>
        <v>11</v>
      </c>
      <c r="C61" s="23">
        <f t="shared" ref="C61:C66" si="25">C60+2</f>
        <v>13</v>
      </c>
      <c r="D61" s="23">
        <f>D60+3</f>
        <v>15</v>
      </c>
      <c r="E61">
        <v>1037.98</v>
      </c>
      <c r="F61">
        <v>8.3699999999999992</v>
      </c>
      <c r="G61">
        <f t="shared" si="3"/>
        <v>124.01194743130229</v>
      </c>
      <c r="H61" s="15">
        <v>3</v>
      </c>
      <c r="I61" s="15">
        <v>4</v>
      </c>
      <c r="J61" s="15">
        <v>20</v>
      </c>
      <c r="K61" s="15">
        <v>21</v>
      </c>
      <c r="L61" s="15">
        <v>-8.94</v>
      </c>
      <c r="M61" s="15">
        <v>4.8</v>
      </c>
      <c r="N61" s="15">
        <f t="shared" si="4"/>
        <v>1.8625</v>
      </c>
      <c r="O61" s="15">
        <v>10</v>
      </c>
      <c r="P61" s="15">
        <f t="shared" si="11"/>
        <v>14</v>
      </c>
      <c r="Q61" s="15">
        <f t="shared" si="17"/>
        <v>18</v>
      </c>
      <c r="R61" s="15"/>
      <c r="S61" s="15"/>
    </row>
    <row r="62" spans="1:19" x14ac:dyDescent="0.15">
      <c r="A62" s="23">
        <v>9</v>
      </c>
      <c r="B62" s="17">
        <f t="shared" si="24"/>
        <v>12</v>
      </c>
      <c r="C62" s="23">
        <f t="shared" si="25"/>
        <v>15</v>
      </c>
      <c r="D62" s="23">
        <f>D61+3</f>
        <v>18</v>
      </c>
      <c r="E62">
        <v>824.52</v>
      </c>
      <c r="F62">
        <v>8.44</v>
      </c>
      <c r="G62">
        <f t="shared" si="3"/>
        <v>97.691943127962091</v>
      </c>
      <c r="H62" s="15">
        <v>3</v>
      </c>
      <c r="I62" s="15">
        <v>4</v>
      </c>
      <c r="J62" s="15">
        <v>21</v>
      </c>
      <c r="K62" s="15">
        <v>22</v>
      </c>
      <c r="L62" s="15">
        <v>-14.18</v>
      </c>
      <c r="M62" s="15">
        <v>5.15</v>
      </c>
      <c r="N62" s="15">
        <f t="shared" si="4"/>
        <v>2.7533980582524271</v>
      </c>
      <c r="O62" s="15">
        <v>10</v>
      </c>
      <c r="P62" s="15">
        <f t="shared" si="11"/>
        <v>15</v>
      </c>
      <c r="Q62" s="15">
        <f t="shared" si="17"/>
        <v>20</v>
      </c>
      <c r="R62" s="15"/>
      <c r="S62" s="15"/>
    </row>
    <row r="63" spans="1:19" x14ac:dyDescent="0.15">
      <c r="A63" s="23">
        <v>9</v>
      </c>
      <c r="B63" s="17">
        <f t="shared" si="24"/>
        <v>13</v>
      </c>
      <c r="C63" s="23">
        <f t="shared" si="25"/>
        <v>17</v>
      </c>
      <c r="D63" s="23">
        <f>D62+3</f>
        <v>21</v>
      </c>
      <c r="E63">
        <v>670.8</v>
      </c>
      <c r="F63">
        <v>8.1</v>
      </c>
      <c r="G63">
        <f t="shared" si="3"/>
        <v>82.81481481481481</v>
      </c>
      <c r="H63" s="15">
        <v>3</v>
      </c>
      <c r="I63" s="15">
        <v>4</v>
      </c>
      <c r="J63" s="15">
        <v>22</v>
      </c>
      <c r="K63" s="15">
        <v>23</v>
      </c>
      <c r="L63" s="15">
        <v>-27.09</v>
      </c>
      <c r="M63" s="15">
        <v>4.92</v>
      </c>
      <c r="N63" s="15">
        <f t="shared" si="4"/>
        <v>5.5060975609756095</v>
      </c>
      <c r="O63" s="15">
        <v>10</v>
      </c>
      <c r="P63" s="15">
        <f t="shared" si="11"/>
        <v>16</v>
      </c>
      <c r="Q63" s="15">
        <f t="shared" si="17"/>
        <v>22</v>
      </c>
      <c r="R63" s="15"/>
      <c r="S63" s="15"/>
    </row>
    <row r="64" spans="1:19" x14ac:dyDescent="0.15">
      <c r="A64" s="23">
        <v>9</v>
      </c>
      <c r="B64" s="17">
        <f t="shared" si="24"/>
        <v>14</v>
      </c>
      <c r="C64" s="23">
        <f t="shared" si="25"/>
        <v>19</v>
      </c>
      <c r="D64" s="23">
        <f>D63+3</f>
        <v>24</v>
      </c>
      <c r="E64">
        <v>566.87</v>
      </c>
      <c r="F64">
        <v>8.48</v>
      </c>
      <c r="G64">
        <f t="shared" si="3"/>
        <v>66.847877358490564</v>
      </c>
      <c r="H64" s="15">
        <v>3</v>
      </c>
      <c r="I64" s="15">
        <v>4</v>
      </c>
      <c r="J64" s="15">
        <v>23</v>
      </c>
      <c r="K64" s="15">
        <v>24</v>
      </c>
      <c r="L64" s="15">
        <v>-30.32</v>
      </c>
      <c r="M64" s="15">
        <v>4.8099999999999996</v>
      </c>
      <c r="N64" s="15">
        <f t="shared" si="4"/>
        <v>6.3035343035343043</v>
      </c>
      <c r="O64" s="15">
        <v>11</v>
      </c>
      <c r="P64" s="15">
        <v>12</v>
      </c>
      <c r="Q64" s="15">
        <v>13</v>
      </c>
      <c r="R64" s="15"/>
      <c r="S64" s="15"/>
    </row>
    <row r="65" spans="1:19" x14ac:dyDescent="0.15">
      <c r="A65" s="23">
        <v>9</v>
      </c>
      <c r="B65" s="17">
        <f t="shared" si="24"/>
        <v>15</v>
      </c>
      <c r="C65" s="23">
        <f t="shared" si="25"/>
        <v>21</v>
      </c>
      <c r="D65" s="23">
        <v>3</v>
      </c>
      <c r="E65">
        <v>246.83</v>
      </c>
      <c r="F65" s="38">
        <v>5.01</v>
      </c>
      <c r="G65">
        <f t="shared" si="3"/>
        <v>49.267465069860286</v>
      </c>
      <c r="H65" s="15">
        <v>3</v>
      </c>
      <c r="I65" s="15">
        <v>4</v>
      </c>
      <c r="J65" s="15">
        <v>24</v>
      </c>
      <c r="K65" s="15">
        <v>1</v>
      </c>
      <c r="L65" s="15">
        <v>-93.52</v>
      </c>
      <c r="M65" s="15">
        <v>5.45</v>
      </c>
      <c r="N65" s="15">
        <f t="shared" si="4"/>
        <v>17.159633027522933</v>
      </c>
      <c r="O65" s="15">
        <v>11</v>
      </c>
      <c r="P65" s="15">
        <f t="shared" si="11"/>
        <v>13</v>
      </c>
      <c r="Q65" s="15">
        <f t="shared" si="17"/>
        <v>15</v>
      </c>
      <c r="R65" s="15"/>
      <c r="S65" s="15"/>
    </row>
    <row r="66" spans="1:19" x14ac:dyDescent="0.15">
      <c r="A66" s="23">
        <v>9</v>
      </c>
      <c r="B66" s="17">
        <f t="shared" si="24"/>
        <v>16</v>
      </c>
      <c r="C66" s="23">
        <f t="shared" si="25"/>
        <v>23</v>
      </c>
      <c r="D66" s="23">
        <f>D65+3</f>
        <v>6</v>
      </c>
      <c r="E66">
        <v>189.04</v>
      </c>
      <c r="F66">
        <v>6.66</v>
      </c>
      <c r="G66">
        <f t="shared" si="3"/>
        <v>28.384384384384383</v>
      </c>
      <c r="H66" s="15">
        <v>3</v>
      </c>
      <c r="I66" s="15">
        <v>4</v>
      </c>
      <c r="J66" s="15">
        <v>1</v>
      </c>
      <c r="K66" s="15">
        <v>2</v>
      </c>
      <c r="L66" s="15">
        <v>-386.67</v>
      </c>
      <c r="M66" s="15">
        <v>5.6</v>
      </c>
      <c r="N66" s="15">
        <f t="shared" si="4"/>
        <v>69.048214285714295</v>
      </c>
      <c r="O66" s="15">
        <v>11</v>
      </c>
      <c r="P66" s="15">
        <f t="shared" si="11"/>
        <v>14</v>
      </c>
      <c r="Q66" s="15">
        <f t="shared" si="17"/>
        <v>17</v>
      </c>
      <c r="R66" s="15"/>
      <c r="S66" s="15"/>
    </row>
    <row r="67" spans="1:19" x14ac:dyDescent="0.15">
      <c r="A67" s="23">
        <v>10</v>
      </c>
      <c r="B67" s="17">
        <f>A67+1</f>
        <v>11</v>
      </c>
      <c r="C67" s="23">
        <f>B67+1</f>
        <v>12</v>
      </c>
      <c r="D67" s="23">
        <f>C67+1</f>
        <v>13</v>
      </c>
      <c r="E67">
        <v>2037.76</v>
      </c>
      <c r="F67">
        <v>9.5399999999999991</v>
      </c>
      <c r="G67">
        <f t="shared" si="3"/>
        <v>213.60167714884699</v>
      </c>
      <c r="H67" s="15">
        <v>4</v>
      </c>
      <c r="I67" s="15">
        <v>5</v>
      </c>
      <c r="J67" s="15">
        <f>I67+1</f>
        <v>6</v>
      </c>
      <c r="K67" s="15">
        <f>J67+1</f>
        <v>7</v>
      </c>
      <c r="L67" s="15">
        <v>-545.46</v>
      </c>
      <c r="M67" s="15">
        <v>8.24</v>
      </c>
      <c r="N67" s="15">
        <f t="shared" si="4"/>
        <v>66.196601941747574</v>
      </c>
      <c r="O67" s="15">
        <v>11</v>
      </c>
      <c r="P67" s="15">
        <f t="shared" si="11"/>
        <v>15</v>
      </c>
      <c r="Q67" s="15">
        <f t="shared" si="17"/>
        <v>19</v>
      </c>
      <c r="R67" s="15"/>
      <c r="S67" s="15"/>
    </row>
    <row r="68" spans="1:19" x14ac:dyDescent="0.15">
      <c r="A68" s="23">
        <v>10</v>
      </c>
      <c r="B68" s="17">
        <f t="shared" ref="B68:B73" si="26">B67+1</f>
        <v>12</v>
      </c>
      <c r="C68" s="23">
        <f t="shared" ref="C68:C73" si="27">C67+2</f>
        <v>14</v>
      </c>
      <c r="D68" s="23">
        <f>D67+3</f>
        <v>16</v>
      </c>
      <c r="E68">
        <v>1218.3599999999999</v>
      </c>
      <c r="F68">
        <v>9.65</v>
      </c>
      <c r="G68">
        <f t="shared" si="3"/>
        <v>126.25492227979274</v>
      </c>
      <c r="H68" s="15">
        <v>4</v>
      </c>
      <c r="I68" s="15">
        <v>5</v>
      </c>
      <c r="J68" s="15">
        <f t="shared" ref="J68:K84" si="28">J67+1</f>
        <v>7</v>
      </c>
      <c r="K68" s="15">
        <f t="shared" si="28"/>
        <v>8</v>
      </c>
      <c r="L68" s="15">
        <v>-139.16</v>
      </c>
      <c r="M68" s="15">
        <v>8.32</v>
      </c>
      <c r="N68" s="15">
        <f t="shared" si="4"/>
        <v>16.725961538461537</v>
      </c>
      <c r="O68" s="15">
        <v>11</v>
      </c>
      <c r="P68" s="15">
        <f t="shared" si="11"/>
        <v>16</v>
      </c>
      <c r="Q68" s="15">
        <f t="shared" si="17"/>
        <v>21</v>
      </c>
      <c r="R68" s="15"/>
      <c r="S68" s="15"/>
    </row>
    <row r="69" spans="1:19" x14ac:dyDescent="0.15">
      <c r="A69" s="23">
        <v>10</v>
      </c>
      <c r="B69" s="17">
        <f t="shared" si="26"/>
        <v>13</v>
      </c>
      <c r="C69" s="23">
        <f t="shared" si="27"/>
        <v>16</v>
      </c>
      <c r="D69" s="23">
        <f>D68+3</f>
        <v>19</v>
      </c>
      <c r="E69">
        <v>681.69</v>
      </c>
      <c r="F69">
        <v>6.87</v>
      </c>
      <c r="G69">
        <f t="shared" ref="G69:G132" si="29">E69/F69</f>
        <v>99.227074235807862</v>
      </c>
      <c r="H69" s="15">
        <v>4</v>
      </c>
      <c r="I69" s="15">
        <v>5</v>
      </c>
      <c r="J69" s="15">
        <f t="shared" si="28"/>
        <v>8</v>
      </c>
      <c r="K69" s="15">
        <f t="shared" si="28"/>
        <v>9</v>
      </c>
      <c r="L69" s="15">
        <v>-55.28</v>
      </c>
      <c r="M69" s="15">
        <v>7.98</v>
      </c>
      <c r="N69" s="15">
        <f t="shared" ref="N69:N132" si="30">-L69/M69</f>
        <v>6.9273182957393482</v>
      </c>
      <c r="O69" s="15">
        <v>11</v>
      </c>
      <c r="P69" s="15">
        <f t="shared" si="11"/>
        <v>17</v>
      </c>
      <c r="Q69" s="15">
        <f t="shared" si="17"/>
        <v>23</v>
      </c>
      <c r="R69" s="15"/>
      <c r="S69" s="15"/>
    </row>
    <row r="70" spans="1:19" x14ac:dyDescent="0.15">
      <c r="A70" s="23">
        <v>10</v>
      </c>
      <c r="B70" s="17">
        <f t="shared" si="26"/>
        <v>14</v>
      </c>
      <c r="C70" s="23">
        <f t="shared" si="27"/>
        <v>18</v>
      </c>
      <c r="D70" s="23">
        <f>D69+3</f>
        <v>22</v>
      </c>
      <c r="E70">
        <v>598.77</v>
      </c>
      <c r="F70">
        <v>7.29</v>
      </c>
      <c r="G70">
        <f t="shared" si="29"/>
        <v>82.135802469135797</v>
      </c>
      <c r="H70" s="15">
        <v>4</v>
      </c>
      <c r="I70" s="15">
        <v>5</v>
      </c>
      <c r="J70" s="15">
        <f t="shared" si="28"/>
        <v>9</v>
      </c>
      <c r="K70" s="15">
        <f t="shared" si="28"/>
        <v>10</v>
      </c>
      <c r="L70" s="15">
        <v>-31.78</v>
      </c>
      <c r="M70" s="15">
        <v>8.07</v>
      </c>
      <c r="N70" s="15">
        <f t="shared" si="30"/>
        <v>3.9380421313506817</v>
      </c>
      <c r="O70" s="15">
        <v>12</v>
      </c>
      <c r="P70" s="15">
        <v>13</v>
      </c>
      <c r="Q70" s="15">
        <v>14</v>
      </c>
      <c r="R70" s="15"/>
      <c r="S70" s="15"/>
    </row>
    <row r="71" spans="1:19" x14ac:dyDescent="0.15">
      <c r="A71" s="23">
        <v>10</v>
      </c>
      <c r="B71" s="17">
        <f t="shared" si="26"/>
        <v>15</v>
      </c>
      <c r="C71" s="23">
        <f t="shared" si="27"/>
        <v>20</v>
      </c>
      <c r="D71" s="23">
        <v>1</v>
      </c>
      <c r="E71">
        <v>656.08</v>
      </c>
      <c r="F71" s="38">
        <v>10.01</v>
      </c>
      <c r="G71">
        <f t="shared" si="29"/>
        <v>65.542457542457541</v>
      </c>
      <c r="H71" s="15">
        <v>4</v>
      </c>
      <c r="I71" s="15">
        <v>5</v>
      </c>
      <c r="J71" s="15">
        <f t="shared" si="28"/>
        <v>10</v>
      </c>
      <c r="K71" s="15">
        <f t="shared" si="28"/>
        <v>11</v>
      </c>
      <c r="L71" s="15">
        <v>-20.149999999999999</v>
      </c>
      <c r="M71" s="15">
        <v>8.34</v>
      </c>
      <c r="N71" s="15">
        <f t="shared" si="30"/>
        <v>2.4160671462829737</v>
      </c>
      <c r="O71" s="15">
        <v>12</v>
      </c>
      <c r="P71" s="15">
        <f t="shared" si="11"/>
        <v>14</v>
      </c>
      <c r="Q71" s="15">
        <f t="shared" si="17"/>
        <v>16</v>
      </c>
      <c r="R71" s="15"/>
      <c r="S71" s="15"/>
    </row>
    <row r="72" spans="1:19" x14ac:dyDescent="0.15">
      <c r="A72" s="23">
        <v>10</v>
      </c>
      <c r="B72" s="17">
        <f t="shared" si="26"/>
        <v>16</v>
      </c>
      <c r="C72" s="23">
        <f t="shared" si="27"/>
        <v>22</v>
      </c>
      <c r="D72" s="23">
        <f>D71+3</f>
        <v>4</v>
      </c>
      <c r="E72">
        <v>473.97</v>
      </c>
      <c r="F72">
        <v>9.4600000000000009</v>
      </c>
      <c r="G72">
        <f t="shared" si="29"/>
        <v>50.102536997885835</v>
      </c>
      <c r="H72" s="15">
        <v>4</v>
      </c>
      <c r="I72" s="15">
        <v>5</v>
      </c>
      <c r="J72" s="15">
        <f t="shared" si="28"/>
        <v>11</v>
      </c>
      <c r="K72" s="15">
        <f t="shared" si="28"/>
        <v>12</v>
      </c>
      <c r="L72" s="15">
        <v>-15.81</v>
      </c>
      <c r="M72" s="15">
        <v>8.16</v>
      </c>
      <c r="N72" s="15">
        <f t="shared" si="30"/>
        <v>1.9375</v>
      </c>
      <c r="O72" s="15">
        <v>12</v>
      </c>
      <c r="P72" s="15">
        <f t="shared" si="11"/>
        <v>15</v>
      </c>
      <c r="Q72" s="15">
        <f t="shared" si="17"/>
        <v>18</v>
      </c>
      <c r="R72" s="15"/>
      <c r="S72" s="15"/>
    </row>
    <row r="73" spans="1:19" x14ac:dyDescent="0.15">
      <c r="A73" s="23">
        <v>10</v>
      </c>
      <c r="B73" s="17">
        <f t="shared" si="26"/>
        <v>17</v>
      </c>
      <c r="C73" s="23">
        <f t="shared" si="27"/>
        <v>24</v>
      </c>
      <c r="D73" s="23">
        <f>D72+3</f>
        <v>7</v>
      </c>
      <c r="E73">
        <v>220.34</v>
      </c>
      <c r="F73">
        <v>7.77</v>
      </c>
      <c r="G73">
        <f t="shared" si="29"/>
        <v>28.35778635778636</v>
      </c>
      <c r="H73" s="15">
        <v>4</v>
      </c>
      <c r="I73" s="15">
        <v>5</v>
      </c>
      <c r="J73" s="15">
        <f t="shared" si="28"/>
        <v>12</v>
      </c>
      <c r="K73" s="15">
        <f t="shared" si="28"/>
        <v>13</v>
      </c>
      <c r="L73" s="15">
        <v>-11.9</v>
      </c>
      <c r="M73" s="15">
        <v>7.87</v>
      </c>
      <c r="N73" s="15">
        <f t="shared" si="30"/>
        <v>1.5120711562897078</v>
      </c>
      <c r="O73" s="15">
        <v>12</v>
      </c>
      <c r="P73" s="15">
        <f t="shared" si="11"/>
        <v>16</v>
      </c>
      <c r="Q73" s="15">
        <f t="shared" si="17"/>
        <v>20</v>
      </c>
      <c r="R73" s="15"/>
      <c r="S73" s="15"/>
    </row>
    <row r="74" spans="1:19" x14ac:dyDescent="0.15">
      <c r="A74" s="23">
        <v>11</v>
      </c>
      <c r="B74" s="17">
        <f>A74+1</f>
        <v>12</v>
      </c>
      <c r="C74" s="23">
        <f>B74+1</f>
        <v>13</v>
      </c>
      <c r="D74" s="23">
        <f>C74+1</f>
        <v>14</v>
      </c>
      <c r="E74">
        <v>1364.48</v>
      </c>
      <c r="F74">
        <v>6.3</v>
      </c>
      <c r="G74">
        <f t="shared" si="29"/>
        <v>216.58412698412698</v>
      </c>
      <c r="H74" s="15">
        <v>4</v>
      </c>
      <c r="I74" s="15">
        <v>5</v>
      </c>
      <c r="J74" s="15">
        <f t="shared" si="28"/>
        <v>13</v>
      </c>
      <c r="K74" s="15">
        <f t="shared" si="28"/>
        <v>14</v>
      </c>
      <c r="L74" s="15">
        <v>-10.9</v>
      </c>
      <c r="M74" s="15">
        <v>7.79</v>
      </c>
      <c r="N74" s="15">
        <f t="shared" si="30"/>
        <v>1.399229781771502</v>
      </c>
      <c r="O74" s="15">
        <v>12</v>
      </c>
      <c r="P74" s="15">
        <f t="shared" si="11"/>
        <v>17</v>
      </c>
      <c r="Q74" s="15">
        <f t="shared" si="17"/>
        <v>22</v>
      </c>
      <c r="R74" s="15"/>
      <c r="S74" s="15"/>
    </row>
    <row r="75" spans="1:19" x14ac:dyDescent="0.15">
      <c r="A75" s="23">
        <v>11</v>
      </c>
      <c r="B75" s="17">
        <f t="shared" ref="B75:B80" si="31">B74+1</f>
        <v>13</v>
      </c>
      <c r="C75" s="23">
        <f>C74+2</f>
        <v>15</v>
      </c>
      <c r="D75" s="23">
        <f>D74+3</f>
        <v>17</v>
      </c>
      <c r="E75">
        <v>765.57</v>
      </c>
      <c r="F75">
        <v>6.14</v>
      </c>
      <c r="G75">
        <f t="shared" si="29"/>
        <v>124.68566775244301</v>
      </c>
      <c r="H75" s="15">
        <v>4</v>
      </c>
      <c r="I75" s="15">
        <v>5</v>
      </c>
      <c r="J75" s="15">
        <f t="shared" si="28"/>
        <v>14</v>
      </c>
      <c r="K75" s="15">
        <f t="shared" si="28"/>
        <v>15</v>
      </c>
      <c r="L75" s="15">
        <v>-11</v>
      </c>
      <c r="M75" s="15">
        <v>8.1199999999999992</v>
      </c>
      <c r="N75" s="15">
        <f t="shared" si="30"/>
        <v>1.3546798029556653</v>
      </c>
      <c r="O75" s="15">
        <v>12</v>
      </c>
      <c r="P75" s="15">
        <f t="shared" si="11"/>
        <v>18</v>
      </c>
      <c r="Q75" s="15">
        <f t="shared" si="17"/>
        <v>24</v>
      </c>
      <c r="R75" s="15"/>
      <c r="S75" s="15"/>
    </row>
    <row r="76" spans="1:19" x14ac:dyDescent="0.15">
      <c r="A76" s="23">
        <v>11</v>
      </c>
      <c r="B76" s="17">
        <f t="shared" si="31"/>
        <v>14</v>
      </c>
      <c r="C76" s="23">
        <f>C75+2</f>
        <v>17</v>
      </c>
      <c r="D76" s="23">
        <f>D75+3</f>
        <v>20</v>
      </c>
      <c r="E76">
        <v>627.55999999999995</v>
      </c>
      <c r="F76">
        <v>6.56</v>
      </c>
      <c r="G76">
        <f t="shared" si="29"/>
        <v>95.664634146341456</v>
      </c>
      <c r="H76" s="15">
        <v>4</v>
      </c>
      <c r="I76" s="15">
        <v>5</v>
      </c>
      <c r="J76" s="15">
        <f t="shared" si="28"/>
        <v>15</v>
      </c>
      <c r="K76" s="15">
        <f t="shared" si="28"/>
        <v>16</v>
      </c>
      <c r="L76" s="15">
        <v>-10.9</v>
      </c>
      <c r="M76" s="15">
        <v>8.09</v>
      </c>
      <c r="N76" s="15">
        <f t="shared" si="30"/>
        <v>1.3473423980222499</v>
      </c>
      <c r="O76" s="15">
        <v>13</v>
      </c>
      <c r="P76" s="15">
        <v>14</v>
      </c>
      <c r="Q76" s="15">
        <v>15</v>
      </c>
      <c r="R76" s="15"/>
      <c r="S76" s="15"/>
    </row>
    <row r="77" spans="1:19" x14ac:dyDescent="0.15">
      <c r="A77" s="23">
        <v>11</v>
      </c>
      <c r="B77" s="17">
        <f t="shared" si="31"/>
        <v>15</v>
      </c>
      <c r="C77" s="23">
        <f>C76+2</f>
        <v>19</v>
      </c>
      <c r="D77" s="23">
        <f>D76+3</f>
        <v>23</v>
      </c>
      <c r="E77">
        <v>395.31</v>
      </c>
      <c r="F77">
        <v>4.6399999999999997</v>
      </c>
      <c r="G77">
        <f t="shared" si="29"/>
        <v>85.196120689655174</v>
      </c>
      <c r="H77" s="15">
        <v>4</v>
      </c>
      <c r="I77" s="15">
        <v>5</v>
      </c>
      <c r="J77" s="15">
        <f t="shared" si="28"/>
        <v>16</v>
      </c>
      <c r="K77" s="15">
        <f t="shared" si="28"/>
        <v>17</v>
      </c>
      <c r="L77" s="15">
        <v>-10.32</v>
      </c>
      <c r="M77" s="15">
        <v>8.17</v>
      </c>
      <c r="N77" s="15">
        <f t="shared" si="30"/>
        <v>1.2631578947368423</v>
      </c>
      <c r="O77" s="15">
        <v>13</v>
      </c>
      <c r="P77" s="15">
        <f t="shared" si="11"/>
        <v>15</v>
      </c>
      <c r="Q77" s="15">
        <f t="shared" si="17"/>
        <v>17</v>
      </c>
      <c r="R77" s="15"/>
      <c r="S77" s="15"/>
    </row>
    <row r="78" spans="1:19" x14ac:dyDescent="0.15">
      <c r="A78" s="23">
        <v>11</v>
      </c>
      <c r="B78" s="17">
        <f t="shared" si="31"/>
        <v>16</v>
      </c>
      <c r="C78" s="23">
        <f>C77+2</f>
        <v>21</v>
      </c>
      <c r="D78" s="23">
        <v>2</v>
      </c>
      <c r="E78">
        <v>423.09</v>
      </c>
      <c r="F78" s="38">
        <v>6.41</v>
      </c>
      <c r="G78">
        <f t="shared" si="29"/>
        <v>66.004680187207484</v>
      </c>
      <c r="H78" s="15">
        <v>4</v>
      </c>
      <c r="I78" s="15">
        <v>5</v>
      </c>
      <c r="J78" s="15">
        <f t="shared" si="28"/>
        <v>17</v>
      </c>
      <c r="K78" s="15">
        <f t="shared" si="28"/>
        <v>18</v>
      </c>
      <c r="L78" s="15">
        <v>-9.86</v>
      </c>
      <c r="M78" s="15">
        <v>7.93</v>
      </c>
      <c r="N78" s="15">
        <f t="shared" si="30"/>
        <v>1.2433795712484237</v>
      </c>
      <c r="O78" s="15">
        <v>13</v>
      </c>
      <c r="P78" s="15">
        <f t="shared" si="11"/>
        <v>16</v>
      </c>
      <c r="Q78" s="15">
        <f t="shared" si="17"/>
        <v>19</v>
      </c>
      <c r="R78" s="15"/>
      <c r="S78" s="15"/>
    </row>
    <row r="79" spans="1:19" x14ac:dyDescent="0.15">
      <c r="A79" s="23">
        <v>11</v>
      </c>
      <c r="B79" s="17">
        <f t="shared" si="31"/>
        <v>17</v>
      </c>
      <c r="C79" s="23">
        <f>C78+2</f>
        <v>23</v>
      </c>
      <c r="D79" s="23">
        <f>D78+3</f>
        <v>5</v>
      </c>
      <c r="E79">
        <v>274.58</v>
      </c>
      <c r="F79">
        <v>5.61</v>
      </c>
      <c r="G79">
        <f t="shared" si="29"/>
        <v>48.944741532976821</v>
      </c>
      <c r="H79" s="15">
        <v>4</v>
      </c>
      <c r="I79" s="15">
        <v>5</v>
      </c>
      <c r="J79" s="15">
        <f t="shared" si="28"/>
        <v>18</v>
      </c>
      <c r="K79" s="15">
        <f t="shared" si="28"/>
        <v>19</v>
      </c>
      <c r="L79" s="15">
        <v>-10.72</v>
      </c>
      <c r="M79" s="15">
        <v>7.56</v>
      </c>
      <c r="N79" s="15">
        <f t="shared" si="30"/>
        <v>1.4179894179894181</v>
      </c>
      <c r="O79" s="15">
        <v>13</v>
      </c>
      <c r="P79" s="15">
        <f t="shared" si="11"/>
        <v>17</v>
      </c>
      <c r="Q79" s="15">
        <f t="shared" si="17"/>
        <v>21</v>
      </c>
      <c r="R79" s="15"/>
      <c r="S79" s="15"/>
    </row>
    <row r="80" spans="1:19" x14ac:dyDescent="0.15">
      <c r="A80" s="23">
        <v>11</v>
      </c>
      <c r="B80" s="17">
        <f t="shared" si="31"/>
        <v>18</v>
      </c>
      <c r="C80" s="23">
        <v>1</v>
      </c>
      <c r="D80" s="23">
        <f>D79+3</f>
        <v>8</v>
      </c>
      <c r="E80">
        <v>185.88</v>
      </c>
      <c r="F80" s="38">
        <v>6.61</v>
      </c>
      <c r="G80">
        <f t="shared" si="29"/>
        <v>28.121028744326775</v>
      </c>
      <c r="H80" s="15">
        <v>4</v>
      </c>
      <c r="I80" s="15">
        <v>5</v>
      </c>
      <c r="J80" s="15">
        <f t="shared" si="28"/>
        <v>19</v>
      </c>
      <c r="K80" s="15">
        <f t="shared" si="28"/>
        <v>20</v>
      </c>
      <c r="L80" s="15">
        <v>-10.53</v>
      </c>
      <c r="M80" s="15">
        <v>7.63</v>
      </c>
      <c r="N80" s="15">
        <f t="shared" si="30"/>
        <v>1.3800786369593709</v>
      </c>
      <c r="O80" s="15">
        <v>13</v>
      </c>
      <c r="P80" s="15">
        <f t="shared" si="11"/>
        <v>18</v>
      </c>
      <c r="Q80" s="15">
        <f t="shared" si="17"/>
        <v>23</v>
      </c>
      <c r="R80" s="15"/>
      <c r="S80" s="15"/>
    </row>
    <row r="81" spans="1:19" x14ac:dyDescent="0.15">
      <c r="A81" s="23">
        <v>12</v>
      </c>
      <c r="B81" s="17">
        <f>A81+1</f>
        <v>13</v>
      </c>
      <c r="C81" s="23">
        <f>B81+1</f>
        <v>14</v>
      </c>
      <c r="D81" s="23">
        <f>C81+1</f>
        <v>15</v>
      </c>
      <c r="E81">
        <v>2164.8000000000002</v>
      </c>
      <c r="F81">
        <v>10.09</v>
      </c>
      <c r="G81">
        <f t="shared" si="29"/>
        <v>214.54905847373638</v>
      </c>
      <c r="H81" s="15">
        <v>4</v>
      </c>
      <c r="I81" s="15">
        <v>5</v>
      </c>
      <c r="J81" s="15">
        <f t="shared" si="28"/>
        <v>20</v>
      </c>
      <c r="K81" s="15">
        <f t="shared" si="28"/>
        <v>21</v>
      </c>
      <c r="L81" s="15">
        <v>-11.65</v>
      </c>
      <c r="M81" s="15">
        <v>7.68</v>
      </c>
      <c r="N81" s="15">
        <f t="shared" si="30"/>
        <v>1.5169270833333335</v>
      </c>
      <c r="O81" s="15">
        <v>13</v>
      </c>
      <c r="P81" s="15">
        <f t="shared" si="11"/>
        <v>19</v>
      </c>
      <c r="Q81" s="15">
        <v>1</v>
      </c>
      <c r="R81" s="15"/>
      <c r="S81" s="15"/>
    </row>
    <row r="82" spans="1:19" x14ac:dyDescent="0.15">
      <c r="A82" s="23">
        <v>12</v>
      </c>
      <c r="B82" s="17">
        <f t="shared" ref="B82:B87" si="32">B81+1</f>
        <v>14</v>
      </c>
      <c r="C82" s="23">
        <f>C81+2</f>
        <v>16</v>
      </c>
      <c r="D82" s="23">
        <f>D81+3</f>
        <v>18</v>
      </c>
      <c r="E82">
        <v>1301.22</v>
      </c>
      <c r="F82" s="38">
        <v>10.49</v>
      </c>
      <c r="G82">
        <f t="shared" si="29"/>
        <v>124.04385128693994</v>
      </c>
      <c r="H82" s="15">
        <v>4</v>
      </c>
      <c r="I82" s="15">
        <v>5</v>
      </c>
      <c r="J82" s="15">
        <f t="shared" si="28"/>
        <v>21</v>
      </c>
      <c r="K82" s="15">
        <f t="shared" si="28"/>
        <v>22</v>
      </c>
      <c r="L82" s="15">
        <v>-16.46</v>
      </c>
      <c r="M82" s="15">
        <v>8.32</v>
      </c>
      <c r="N82" s="15">
        <f t="shared" si="30"/>
        <v>1.9783653846153846</v>
      </c>
      <c r="O82" s="15">
        <v>14</v>
      </c>
      <c r="P82" s="15">
        <v>15</v>
      </c>
      <c r="Q82" s="15">
        <v>16</v>
      </c>
      <c r="R82" s="15"/>
      <c r="S82" s="15"/>
    </row>
    <row r="83" spans="1:19" x14ac:dyDescent="0.15">
      <c r="A83" s="23">
        <v>12</v>
      </c>
      <c r="B83" s="17">
        <f t="shared" si="32"/>
        <v>15</v>
      </c>
      <c r="C83" s="23">
        <f>C82+2</f>
        <v>18</v>
      </c>
      <c r="D83" s="23">
        <f>D82+3</f>
        <v>21</v>
      </c>
      <c r="E83">
        <v>962.72</v>
      </c>
      <c r="F83">
        <v>9.8000000000000007</v>
      </c>
      <c r="G83">
        <f t="shared" si="29"/>
        <v>98.236734693877551</v>
      </c>
      <c r="H83" s="15">
        <v>4</v>
      </c>
      <c r="I83" s="15">
        <v>5</v>
      </c>
      <c r="J83" s="15">
        <f t="shared" si="28"/>
        <v>22</v>
      </c>
      <c r="K83" s="15">
        <f t="shared" si="28"/>
        <v>23</v>
      </c>
      <c r="L83" s="15">
        <v>-19.62</v>
      </c>
      <c r="M83" s="15">
        <v>8.1</v>
      </c>
      <c r="N83" s="15">
        <f t="shared" si="30"/>
        <v>2.4222222222222225</v>
      </c>
      <c r="O83" s="15">
        <v>14</v>
      </c>
      <c r="P83" s="15">
        <f t="shared" si="11"/>
        <v>16</v>
      </c>
      <c r="Q83" s="15">
        <f t="shared" si="17"/>
        <v>18</v>
      </c>
      <c r="R83" s="15"/>
      <c r="S83" s="15"/>
    </row>
    <row r="84" spans="1:19" x14ac:dyDescent="0.15">
      <c r="A84" s="23">
        <v>12</v>
      </c>
      <c r="B84" s="17">
        <f t="shared" si="32"/>
        <v>16</v>
      </c>
      <c r="C84" s="23">
        <f>C83+2</f>
        <v>20</v>
      </c>
      <c r="D84" s="23">
        <f>D83+3</f>
        <v>24</v>
      </c>
      <c r="E84">
        <v>836.35</v>
      </c>
      <c r="F84" s="38">
        <v>10.46</v>
      </c>
      <c r="G84">
        <f t="shared" si="29"/>
        <v>79.956978967495218</v>
      </c>
      <c r="H84" s="15">
        <v>4</v>
      </c>
      <c r="I84" s="15">
        <v>5</v>
      </c>
      <c r="J84" s="15">
        <f t="shared" si="28"/>
        <v>23</v>
      </c>
      <c r="K84" s="15">
        <f t="shared" si="28"/>
        <v>24</v>
      </c>
      <c r="L84" s="15">
        <v>-27.68</v>
      </c>
      <c r="M84" s="15">
        <v>7.91</v>
      </c>
      <c r="N84" s="15">
        <f t="shared" si="30"/>
        <v>3.4993678887484196</v>
      </c>
      <c r="O84" s="15">
        <v>14</v>
      </c>
      <c r="P84" s="15">
        <f t="shared" si="11"/>
        <v>17</v>
      </c>
      <c r="Q84" s="15">
        <f t="shared" si="17"/>
        <v>20</v>
      </c>
      <c r="R84" s="15"/>
      <c r="S84" s="15"/>
    </row>
    <row r="85" spans="1:19" x14ac:dyDescent="0.15">
      <c r="A85" s="23">
        <v>12</v>
      </c>
      <c r="B85" s="17">
        <f t="shared" si="32"/>
        <v>17</v>
      </c>
      <c r="C85" s="23">
        <f>C84+2</f>
        <v>22</v>
      </c>
      <c r="D85" s="23">
        <v>3</v>
      </c>
      <c r="E85">
        <v>412.53</v>
      </c>
      <c r="F85" s="38">
        <v>6.78</v>
      </c>
      <c r="G85">
        <f t="shared" si="29"/>
        <v>60.845132743362825</v>
      </c>
      <c r="H85" s="15">
        <v>4</v>
      </c>
      <c r="I85" s="15">
        <v>5</v>
      </c>
      <c r="J85" s="15">
        <f>J84+1</f>
        <v>24</v>
      </c>
      <c r="K85" s="15">
        <v>1</v>
      </c>
      <c r="L85" s="15">
        <v>-58.42</v>
      </c>
      <c r="M85" s="15">
        <v>7.73</v>
      </c>
      <c r="N85" s="15">
        <f t="shared" si="30"/>
        <v>7.5575679172056915</v>
      </c>
      <c r="O85" s="15">
        <v>14</v>
      </c>
      <c r="P85" s="15">
        <f t="shared" si="11"/>
        <v>18</v>
      </c>
      <c r="Q85" s="15">
        <f t="shared" si="17"/>
        <v>22</v>
      </c>
      <c r="R85" s="15"/>
      <c r="S85" s="15"/>
    </row>
    <row r="86" spans="1:19" x14ac:dyDescent="0.15">
      <c r="A86" s="23">
        <v>12</v>
      </c>
      <c r="B86" s="17">
        <f t="shared" si="32"/>
        <v>18</v>
      </c>
      <c r="C86" s="23">
        <f>C85+2</f>
        <v>24</v>
      </c>
      <c r="D86" s="23">
        <f>D85+3</f>
        <v>6</v>
      </c>
      <c r="E86">
        <v>361.95</v>
      </c>
      <c r="F86" s="38">
        <v>7.41</v>
      </c>
      <c r="G86">
        <f t="shared" si="29"/>
        <v>48.846153846153847</v>
      </c>
      <c r="H86" s="15">
        <v>4</v>
      </c>
      <c r="I86" s="15">
        <v>5</v>
      </c>
      <c r="J86" s="15">
        <v>1</v>
      </c>
      <c r="K86" s="15">
        <f>K85+1</f>
        <v>2</v>
      </c>
      <c r="L86" s="15">
        <v>-145.49</v>
      </c>
      <c r="M86" s="15">
        <v>7.96</v>
      </c>
      <c r="N86" s="15">
        <f t="shared" si="30"/>
        <v>18.277638190954775</v>
      </c>
      <c r="O86" s="15">
        <v>14</v>
      </c>
      <c r="P86" s="15">
        <f t="shared" si="11"/>
        <v>19</v>
      </c>
      <c r="Q86" s="15">
        <f t="shared" si="17"/>
        <v>24</v>
      </c>
      <c r="R86" s="15"/>
      <c r="S86" s="15"/>
    </row>
    <row r="87" spans="1:19" x14ac:dyDescent="0.15">
      <c r="A87" s="23">
        <v>12</v>
      </c>
      <c r="B87" s="17">
        <f t="shared" si="32"/>
        <v>19</v>
      </c>
      <c r="C87" s="23">
        <v>2</v>
      </c>
      <c r="D87" s="23">
        <f>D86+3</f>
        <v>9</v>
      </c>
      <c r="E87">
        <v>252.54</v>
      </c>
      <c r="F87" s="38">
        <v>8.9700000000000006</v>
      </c>
      <c r="G87">
        <f t="shared" si="29"/>
        <v>28.15384615384615</v>
      </c>
      <c r="H87" s="15">
        <v>4</v>
      </c>
      <c r="I87" s="15">
        <v>5</v>
      </c>
      <c r="J87" s="15">
        <f>J86+1</f>
        <v>2</v>
      </c>
      <c r="K87" s="15">
        <f>K86+1</f>
        <v>3</v>
      </c>
      <c r="L87" s="15">
        <v>-551.03</v>
      </c>
      <c r="M87" s="15">
        <v>8.23</v>
      </c>
      <c r="N87" s="15">
        <f t="shared" si="30"/>
        <v>66.953827460510325</v>
      </c>
      <c r="O87" s="15">
        <v>14</v>
      </c>
      <c r="P87" s="15">
        <f t="shared" si="11"/>
        <v>20</v>
      </c>
      <c r="Q87" s="15">
        <v>2</v>
      </c>
      <c r="R87" s="15"/>
      <c r="S87" s="15"/>
    </row>
    <row r="88" spans="1:19" x14ac:dyDescent="0.15">
      <c r="A88" s="23">
        <v>13</v>
      </c>
      <c r="B88" s="17">
        <f>A88+1</f>
        <v>14</v>
      </c>
      <c r="C88" s="23">
        <f>B88+1</f>
        <v>15</v>
      </c>
      <c r="D88" s="23">
        <f>C88+1</f>
        <v>16</v>
      </c>
      <c r="E88">
        <v>1725.87</v>
      </c>
      <c r="F88" s="38">
        <v>8.3699999999999992</v>
      </c>
      <c r="G88">
        <f t="shared" si="29"/>
        <v>206.19713261648747</v>
      </c>
      <c r="H88" s="15">
        <v>5</v>
      </c>
      <c r="I88" s="15">
        <v>6</v>
      </c>
      <c r="J88" s="15">
        <f>I88+1</f>
        <v>7</v>
      </c>
      <c r="K88" s="15">
        <f>J88+1</f>
        <v>8</v>
      </c>
      <c r="L88" s="15">
        <v>-339.97</v>
      </c>
      <c r="M88" s="15">
        <v>5.83</v>
      </c>
      <c r="N88" s="15">
        <f t="shared" si="30"/>
        <v>58.313893653516296</v>
      </c>
      <c r="O88" s="15">
        <v>15</v>
      </c>
      <c r="P88" s="15">
        <v>16</v>
      </c>
      <c r="Q88" s="15">
        <v>17</v>
      </c>
      <c r="R88" s="15"/>
      <c r="S88" s="15"/>
    </row>
    <row r="89" spans="1:19" x14ac:dyDescent="0.15">
      <c r="A89" s="23">
        <v>13</v>
      </c>
      <c r="B89" s="17">
        <f t="shared" ref="B89:B94" si="33">B88+1</f>
        <v>15</v>
      </c>
      <c r="C89" s="23">
        <f>C88+2</f>
        <v>17</v>
      </c>
      <c r="D89" s="23">
        <f>D88+3</f>
        <v>19</v>
      </c>
      <c r="E89">
        <v>740.5</v>
      </c>
      <c r="F89" s="38">
        <v>6.12</v>
      </c>
      <c r="G89">
        <f t="shared" si="29"/>
        <v>120.99673202614379</v>
      </c>
      <c r="H89" s="15">
        <v>5</v>
      </c>
      <c r="I89" s="15">
        <v>6</v>
      </c>
      <c r="J89" s="15">
        <f t="shared" ref="J89:K104" si="34">J88+1</f>
        <v>8</v>
      </c>
      <c r="K89" s="15">
        <f t="shared" si="34"/>
        <v>9</v>
      </c>
      <c r="L89" s="15">
        <v>-89.83</v>
      </c>
      <c r="M89" s="15">
        <v>5.86</v>
      </c>
      <c r="N89" s="15">
        <f t="shared" si="30"/>
        <v>15.329351535836176</v>
      </c>
      <c r="O89" s="15">
        <v>15</v>
      </c>
      <c r="P89" s="15">
        <f t="shared" ref="P89:P147" si="35">P88+1</f>
        <v>17</v>
      </c>
      <c r="Q89" s="15">
        <f t="shared" si="17"/>
        <v>19</v>
      </c>
      <c r="R89" s="15"/>
      <c r="S89" s="15"/>
    </row>
    <row r="90" spans="1:19" x14ac:dyDescent="0.15">
      <c r="A90" s="23">
        <v>13</v>
      </c>
      <c r="B90" s="17">
        <f t="shared" si="33"/>
        <v>16</v>
      </c>
      <c r="C90" s="23">
        <f>C89+2</f>
        <v>19</v>
      </c>
      <c r="D90" s="23">
        <f>D89+3</f>
        <v>22</v>
      </c>
      <c r="E90">
        <v>620.65</v>
      </c>
      <c r="F90" s="38">
        <v>6.21</v>
      </c>
      <c r="G90">
        <f t="shared" si="29"/>
        <v>99.943639291465374</v>
      </c>
      <c r="H90" s="15">
        <v>5</v>
      </c>
      <c r="I90" s="15">
        <v>6</v>
      </c>
      <c r="J90" s="15">
        <f t="shared" si="34"/>
        <v>9</v>
      </c>
      <c r="K90" s="15">
        <f t="shared" si="34"/>
        <v>10</v>
      </c>
      <c r="L90" s="15">
        <v>-41.39</v>
      </c>
      <c r="M90" s="15">
        <v>6.05</v>
      </c>
      <c r="N90" s="15">
        <f t="shared" si="30"/>
        <v>6.8413223140495871</v>
      </c>
      <c r="O90" s="15">
        <v>15</v>
      </c>
      <c r="P90" s="15">
        <f t="shared" si="35"/>
        <v>18</v>
      </c>
      <c r="Q90" s="15">
        <f t="shared" si="17"/>
        <v>21</v>
      </c>
      <c r="R90" s="15"/>
      <c r="S90" s="15"/>
    </row>
    <row r="91" spans="1:19" x14ac:dyDescent="0.15">
      <c r="A91" s="23">
        <v>13</v>
      </c>
      <c r="B91" s="17">
        <f t="shared" si="33"/>
        <v>17</v>
      </c>
      <c r="C91" s="23">
        <f>C90+2</f>
        <v>21</v>
      </c>
      <c r="D91" s="23">
        <v>1</v>
      </c>
      <c r="E91">
        <v>661.67</v>
      </c>
      <c r="F91" s="38">
        <v>8.67</v>
      </c>
      <c r="G91">
        <f t="shared" si="29"/>
        <v>76.317185697808526</v>
      </c>
      <c r="H91" s="15">
        <v>5</v>
      </c>
      <c r="I91" s="15">
        <v>6</v>
      </c>
      <c r="J91" s="15">
        <f t="shared" si="34"/>
        <v>10</v>
      </c>
      <c r="K91" s="15">
        <f t="shared" si="34"/>
        <v>11</v>
      </c>
      <c r="L91" s="15">
        <v>-19.3</v>
      </c>
      <c r="M91" s="15">
        <v>6.06</v>
      </c>
      <c r="N91" s="15">
        <f t="shared" si="30"/>
        <v>3.1848184818481853</v>
      </c>
      <c r="O91" s="15">
        <v>15</v>
      </c>
      <c r="P91" s="15">
        <f t="shared" si="35"/>
        <v>19</v>
      </c>
      <c r="Q91" s="15">
        <f t="shared" si="17"/>
        <v>23</v>
      </c>
      <c r="R91" s="15"/>
      <c r="S91" s="15"/>
    </row>
    <row r="92" spans="1:19" x14ac:dyDescent="0.15">
      <c r="A92" s="23">
        <v>13</v>
      </c>
      <c r="B92" s="17">
        <f t="shared" si="33"/>
        <v>18</v>
      </c>
      <c r="C92" s="23">
        <f>C91+2</f>
        <v>23</v>
      </c>
      <c r="D92" s="23">
        <f>D91+3</f>
        <v>4</v>
      </c>
      <c r="E92">
        <v>516.83000000000004</v>
      </c>
      <c r="F92" s="38">
        <v>7.95</v>
      </c>
      <c r="G92">
        <f t="shared" si="29"/>
        <v>65.010062893081766</v>
      </c>
      <c r="H92" s="15">
        <v>5</v>
      </c>
      <c r="I92" s="15">
        <v>6</v>
      </c>
      <c r="J92" s="15">
        <f t="shared" si="34"/>
        <v>11</v>
      </c>
      <c r="K92" s="15">
        <f t="shared" si="34"/>
        <v>12</v>
      </c>
      <c r="L92" s="15">
        <v>-15.29</v>
      </c>
      <c r="M92" s="15">
        <v>6.37</v>
      </c>
      <c r="N92" s="15">
        <f t="shared" si="30"/>
        <v>2.400313971742543</v>
      </c>
      <c r="O92" s="15">
        <v>15</v>
      </c>
      <c r="P92" s="15">
        <f t="shared" si="35"/>
        <v>20</v>
      </c>
      <c r="Q92" s="15">
        <v>1</v>
      </c>
      <c r="R92" s="15"/>
      <c r="S92" s="15"/>
    </row>
    <row r="93" spans="1:19" x14ac:dyDescent="0.15">
      <c r="A93" s="23">
        <v>13</v>
      </c>
      <c r="B93" s="17">
        <f t="shared" si="33"/>
        <v>19</v>
      </c>
      <c r="C93" s="23">
        <v>1</v>
      </c>
      <c r="D93" s="23">
        <f>D92+3</f>
        <v>7</v>
      </c>
      <c r="E93">
        <v>316.07</v>
      </c>
      <c r="F93" s="38">
        <v>6.66</v>
      </c>
      <c r="G93">
        <f t="shared" si="29"/>
        <v>47.457957957957959</v>
      </c>
      <c r="H93" s="15">
        <v>5</v>
      </c>
      <c r="I93" s="15">
        <v>6</v>
      </c>
      <c r="J93" s="15">
        <f t="shared" si="34"/>
        <v>12</v>
      </c>
      <c r="K93" s="15">
        <f t="shared" si="34"/>
        <v>13</v>
      </c>
      <c r="L93" s="15">
        <v>-10.92</v>
      </c>
      <c r="M93" s="15">
        <v>6.2</v>
      </c>
      <c r="N93" s="15">
        <f t="shared" si="30"/>
        <v>1.7612903225806451</v>
      </c>
      <c r="O93" s="15">
        <v>15</v>
      </c>
      <c r="P93" s="15">
        <f t="shared" si="35"/>
        <v>21</v>
      </c>
      <c r="Q93" s="15">
        <f t="shared" si="17"/>
        <v>3</v>
      </c>
      <c r="R93" s="15"/>
      <c r="S93" s="15"/>
    </row>
    <row r="94" spans="1:19" x14ac:dyDescent="0.15">
      <c r="A94" s="23">
        <v>13</v>
      </c>
      <c r="B94" s="17">
        <f t="shared" si="33"/>
        <v>20</v>
      </c>
      <c r="C94" s="23">
        <f>C93+2</f>
        <v>3</v>
      </c>
      <c r="D94" s="23">
        <f>D93+3</f>
        <v>10</v>
      </c>
      <c r="E94">
        <v>274.95</v>
      </c>
      <c r="F94" s="38">
        <v>9.8800000000000008</v>
      </c>
      <c r="G94">
        <f t="shared" si="29"/>
        <v>27.828947368421048</v>
      </c>
      <c r="H94" s="15">
        <v>5</v>
      </c>
      <c r="I94" s="15">
        <v>6</v>
      </c>
      <c r="J94" s="15">
        <f t="shared" si="34"/>
        <v>13</v>
      </c>
      <c r="K94" s="15">
        <f t="shared" si="34"/>
        <v>14</v>
      </c>
      <c r="L94" s="15">
        <v>-9.7200000000000006</v>
      </c>
      <c r="M94" s="15">
        <v>6.22</v>
      </c>
      <c r="N94" s="15">
        <f t="shared" si="30"/>
        <v>1.5627009646302252</v>
      </c>
      <c r="O94" s="15">
        <v>16</v>
      </c>
      <c r="P94" s="15">
        <v>17</v>
      </c>
      <c r="Q94" s="15">
        <v>18</v>
      </c>
      <c r="R94" s="15"/>
      <c r="S94" s="15"/>
    </row>
    <row r="95" spans="1:19" x14ac:dyDescent="0.15">
      <c r="A95" s="23">
        <v>14</v>
      </c>
      <c r="B95" s="17">
        <f>A95+1</f>
        <v>15</v>
      </c>
      <c r="C95" s="23">
        <f>B95+1</f>
        <v>16</v>
      </c>
      <c r="D95" s="23">
        <f>C95+1</f>
        <v>17</v>
      </c>
      <c r="E95">
        <v>1472.51</v>
      </c>
      <c r="F95" s="38">
        <v>6.67</v>
      </c>
      <c r="G95">
        <f t="shared" si="29"/>
        <v>220.76611694152925</v>
      </c>
      <c r="H95" s="15">
        <v>5</v>
      </c>
      <c r="I95" s="15">
        <v>6</v>
      </c>
      <c r="J95" s="15">
        <f t="shared" si="34"/>
        <v>14</v>
      </c>
      <c r="K95" s="15">
        <f t="shared" si="34"/>
        <v>15</v>
      </c>
      <c r="L95" s="15">
        <v>-8.42</v>
      </c>
      <c r="M95" s="15">
        <v>6.14</v>
      </c>
      <c r="N95" s="15">
        <f t="shared" si="30"/>
        <v>1.3713355048859937</v>
      </c>
      <c r="O95" s="15">
        <v>16</v>
      </c>
      <c r="P95" s="15">
        <f t="shared" si="35"/>
        <v>18</v>
      </c>
      <c r="Q95" s="15">
        <f t="shared" si="17"/>
        <v>20</v>
      </c>
      <c r="R95" s="15"/>
      <c r="S95" s="15"/>
    </row>
    <row r="96" spans="1:19" x14ac:dyDescent="0.15">
      <c r="A96" s="23">
        <v>14</v>
      </c>
      <c r="B96" s="17">
        <f t="shared" ref="B96:B101" si="36">B95+1</f>
        <v>16</v>
      </c>
      <c r="C96" s="23">
        <f>C95+2</f>
        <v>18</v>
      </c>
      <c r="D96" s="23">
        <f>D95+3</f>
        <v>20</v>
      </c>
      <c r="E96">
        <v>926.89</v>
      </c>
      <c r="F96" s="38">
        <v>7.6</v>
      </c>
      <c r="G96">
        <f t="shared" si="29"/>
        <v>121.9592105263158</v>
      </c>
      <c r="H96" s="15">
        <v>5</v>
      </c>
      <c r="I96" s="15">
        <v>6</v>
      </c>
      <c r="J96" s="15">
        <f t="shared" si="34"/>
        <v>15</v>
      </c>
      <c r="K96" s="15">
        <f t="shared" si="34"/>
        <v>16</v>
      </c>
      <c r="L96" s="15">
        <v>-8.5</v>
      </c>
      <c r="M96" s="15">
        <v>6.24</v>
      </c>
      <c r="N96" s="15">
        <f t="shared" si="30"/>
        <v>1.3621794871794872</v>
      </c>
      <c r="O96" s="15">
        <v>16</v>
      </c>
      <c r="P96" s="15">
        <f t="shared" si="35"/>
        <v>19</v>
      </c>
      <c r="Q96" s="15">
        <f t="shared" si="17"/>
        <v>22</v>
      </c>
      <c r="R96" s="15"/>
      <c r="S96" s="15"/>
    </row>
    <row r="97" spans="1:19" x14ac:dyDescent="0.15">
      <c r="A97" s="23">
        <v>14</v>
      </c>
      <c r="B97" s="17">
        <f t="shared" si="36"/>
        <v>17</v>
      </c>
      <c r="C97" s="23">
        <f>C96+2</f>
        <v>20</v>
      </c>
      <c r="D97" s="23">
        <f>D96+3</f>
        <v>23</v>
      </c>
      <c r="E97">
        <v>491.16</v>
      </c>
      <c r="F97" s="38">
        <v>4.95</v>
      </c>
      <c r="G97">
        <f t="shared" si="29"/>
        <v>99.224242424242419</v>
      </c>
      <c r="H97" s="15">
        <v>5</v>
      </c>
      <c r="I97" s="15">
        <v>6</v>
      </c>
      <c r="J97" s="15">
        <f t="shared" si="34"/>
        <v>16</v>
      </c>
      <c r="K97" s="15">
        <f t="shared" si="34"/>
        <v>17</v>
      </c>
      <c r="L97" s="15">
        <v>-7.52</v>
      </c>
      <c r="M97" s="15">
        <v>6.23</v>
      </c>
      <c r="N97" s="15">
        <f t="shared" si="30"/>
        <v>1.2070626003210272</v>
      </c>
      <c r="O97" s="15">
        <v>16</v>
      </c>
      <c r="P97" s="15">
        <f t="shared" si="35"/>
        <v>20</v>
      </c>
      <c r="Q97" s="15">
        <f t="shared" si="17"/>
        <v>24</v>
      </c>
      <c r="R97" s="15"/>
      <c r="S97" s="15"/>
    </row>
    <row r="98" spans="1:19" x14ac:dyDescent="0.15">
      <c r="A98" s="23">
        <v>14</v>
      </c>
      <c r="B98" s="17">
        <f t="shared" si="36"/>
        <v>18</v>
      </c>
      <c r="C98" s="23">
        <f>C97+2</f>
        <v>22</v>
      </c>
      <c r="D98" s="23">
        <v>2</v>
      </c>
      <c r="E98">
        <v>644.05999999999995</v>
      </c>
      <c r="F98" s="38">
        <v>8.17</v>
      </c>
      <c r="G98">
        <f t="shared" si="29"/>
        <v>78.832313341493261</v>
      </c>
      <c r="H98" s="15">
        <v>5</v>
      </c>
      <c r="I98" s="15">
        <v>6</v>
      </c>
      <c r="J98" s="15">
        <f t="shared" si="34"/>
        <v>17</v>
      </c>
      <c r="K98" s="15">
        <f t="shared" si="34"/>
        <v>18</v>
      </c>
      <c r="L98" s="15">
        <v>-7.37</v>
      </c>
      <c r="M98" s="15">
        <v>6.13</v>
      </c>
      <c r="N98" s="15">
        <f t="shared" si="30"/>
        <v>1.2022838499184341</v>
      </c>
      <c r="O98" s="15">
        <v>16</v>
      </c>
      <c r="P98" s="15">
        <f t="shared" si="35"/>
        <v>21</v>
      </c>
      <c r="Q98" s="15">
        <v>2</v>
      </c>
      <c r="R98" s="15"/>
      <c r="S98" s="15"/>
    </row>
    <row r="99" spans="1:19" x14ac:dyDescent="0.15">
      <c r="A99" s="23">
        <v>14</v>
      </c>
      <c r="B99" s="17">
        <f t="shared" si="36"/>
        <v>19</v>
      </c>
      <c r="C99" s="23">
        <f>C98+2</f>
        <v>24</v>
      </c>
      <c r="D99" s="23">
        <f>D98+3</f>
        <v>5</v>
      </c>
      <c r="E99">
        <v>441.75</v>
      </c>
      <c r="F99" s="38">
        <v>6.96</v>
      </c>
      <c r="G99">
        <f t="shared" si="29"/>
        <v>63.469827586206897</v>
      </c>
      <c r="H99" s="15">
        <v>5</v>
      </c>
      <c r="I99" s="15">
        <v>6</v>
      </c>
      <c r="J99" s="15">
        <f t="shared" si="34"/>
        <v>18</v>
      </c>
      <c r="K99" s="15">
        <f t="shared" si="34"/>
        <v>19</v>
      </c>
      <c r="L99" s="15">
        <v>-8.31</v>
      </c>
      <c r="M99" s="15">
        <v>6.05</v>
      </c>
      <c r="N99" s="15">
        <f t="shared" si="30"/>
        <v>1.3735537190082645</v>
      </c>
      <c r="O99" s="15">
        <v>16</v>
      </c>
      <c r="P99" s="15">
        <f t="shared" si="35"/>
        <v>22</v>
      </c>
      <c r="Q99" s="15">
        <f t="shared" ref="Q99:Q147" si="37">Q98+2</f>
        <v>4</v>
      </c>
      <c r="R99" s="15"/>
      <c r="S99" s="15"/>
    </row>
    <row r="100" spans="1:19" x14ac:dyDescent="0.15">
      <c r="A100" s="23">
        <v>14</v>
      </c>
      <c r="B100" s="17">
        <f t="shared" si="36"/>
        <v>20</v>
      </c>
      <c r="C100" s="23">
        <v>2</v>
      </c>
      <c r="D100" s="23">
        <f>D99+3</f>
        <v>8</v>
      </c>
      <c r="E100">
        <v>398.22</v>
      </c>
      <c r="F100" s="38">
        <v>8.08</v>
      </c>
      <c r="G100">
        <f t="shared" si="29"/>
        <v>49.284653465346537</v>
      </c>
      <c r="H100" s="15">
        <v>5</v>
      </c>
      <c r="I100" s="15">
        <v>6</v>
      </c>
      <c r="J100" s="15">
        <f t="shared" si="34"/>
        <v>19</v>
      </c>
      <c r="K100" s="15">
        <f t="shared" si="34"/>
        <v>20</v>
      </c>
      <c r="L100" s="15">
        <v>-7.62</v>
      </c>
      <c r="M100" s="15">
        <v>6.02</v>
      </c>
      <c r="N100" s="15">
        <f t="shared" si="30"/>
        <v>1.2657807308970102</v>
      </c>
      <c r="O100" s="15">
        <v>17</v>
      </c>
      <c r="P100" s="15">
        <v>18</v>
      </c>
      <c r="Q100" s="15">
        <v>19</v>
      </c>
      <c r="R100" s="15"/>
      <c r="S100" s="15"/>
    </row>
    <row r="101" spans="1:19" x14ac:dyDescent="0.15">
      <c r="A101" s="23">
        <v>14</v>
      </c>
      <c r="B101" s="17">
        <f t="shared" si="36"/>
        <v>21</v>
      </c>
      <c r="C101" s="23">
        <f>C100+2</f>
        <v>4</v>
      </c>
      <c r="D101" s="23">
        <f>D100+3</f>
        <v>11</v>
      </c>
      <c r="E101">
        <v>152.82</v>
      </c>
      <c r="F101" s="38">
        <v>5.39</v>
      </c>
      <c r="G101">
        <f t="shared" si="29"/>
        <v>28.352504638218925</v>
      </c>
      <c r="H101" s="15">
        <v>5</v>
      </c>
      <c r="I101" s="15">
        <v>6</v>
      </c>
      <c r="J101" s="15">
        <f t="shared" si="34"/>
        <v>20</v>
      </c>
      <c r="K101" s="15">
        <f t="shared" si="34"/>
        <v>21</v>
      </c>
      <c r="L101" s="15">
        <v>-7.43</v>
      </c>
      <c r="M101" s="15">
        <v>5.7</v>
      </c>
      <c r="N101" s="15">
        <f t="shared" si="30"/>
        <v>1.3035087719298244</v>
      </c>
      <c r="O101" s="15">
        <v>17</v>
      </c>
      <c r="P101" s="15">
        <f t="shared" si="35"/>
        <v>19</v>
      </c>
      <c r="Q101" s="15">
        <f t="shared" si="37"/>
        <v>21</v>
      </c>
      <c r="R101" s="15"/>
      <c r="S101" s="15"/>
    </row>
    <row r="102" spans="1:19" x14ac:dyDescent="0.15">
      <c r="A102" s="23">
        <v>15</v>
      </c>
      <c r="B102" s="17">
        <f>A102+1</f>
        <v>16</v>
      </c>
      <c r="C102" s="23">
        <f>B102+1</f>
        <v>17</v>
      </c>
      <c r="D102" s="23">
        <f>C102+1</f>
        <v>18</v>
      </c>
      <c r="E102">
        <v>2041.66</v>
      </c>
      <c r="F102" s="38">
        <v>9.5299999999999994</v>
      </c>
      <c r="G102">
        <f t="shared" si="29"/>
        <v>214.23504721930746</v>
      </c>
      <c r="H102" s="15">
        <v>5</v>
      </c>
      <c r="I102" s="15">
        <v>6</v>
      </c>
      <c r="J102" s="15">
        <f t="shared" si="34"/>
        <v>21</v>
      </c>
      <c r="K102" s="15">
        <f t="shared" si="34"/>
        <v>22</v>
      </c>
      <c r="L102" s="15">
        <v>-8.9600000000000009</v>
      </c>
      <c r="M102" s="15">
        <v>5.81</v>
      </c>
      <c r="N102" s="15">
        <f t="shared" si="30"/>
        <v>1.5421686746987955</v>
      </c>
      <c r="O102" s="15">
        <v>17</v>
      </c>
      <c r="P102" s="15">
        <f t="shared" si="35"/>
        <v>20</v>
      </c>
      <c r="Q102" s="15">
        <f t="shared" si="37"/>
        <v>23</v>
      </c>
      <c r="R102" s="15"/>
      <c r="S102" s="15"/>
    </row>
    <row r="103" spans="1:19" x14ac:dyDescent="0.15">
      <c r="A103" s="23">
        <v>15</v>
      </c>
      <c r="B103" s="17">
        <f t="shared" ref="B103:B108" si="38">B102+1</f>
        <v>17</v>
      </c>
      <c r="C103" s="23">
        <f>C102+2</f>
        <v>19</v>
      </c>
      <c r="D103" s="23">
        <f>D102+3</f>
        <v>21</v>
      </c>
      <c r="E103">
        <v>1167.4000000000001</v>
      </c>
      <c r="F103" s="38">
        <v>8.9600000000000009</v>
      </c>
      <c r="G103">
        <f t="shared" si="29"/>
        <v>130.29017857142856</v>
      </c>
      <c r="H103" s="15">
        <v>5</v>
      </c>
      <c r="I103" s="15">
        <v>6</v>
      </c>
      <c r="J103" s="15">
        <f t="shared" si="34"/>
        <v>22</v>
      </c>
      <c r="K103" s="15">
        <f t="shared" si="34"/>
        <v>23</v>
      </c>
      <c r="L103" s="15">
        <v>-10.130000000000001</v>
      </c>
      <c r="M103" s="15">
        <v>6.11</v>
      </c>
      <c r="N103" s="15">
        <f t="shared" si="30"/>
        <v>1.6579378068739772</v>
      </c>
      <c r="O103" s="15">
        <v>17</v>
      </c>
      <c r="P103" s="15">
        <f t="shared" si="35"/>
        <v>21</v>
      </c>
      <c r="Q103" s="15">
        <v>1</v>
      </c>
      <c r="R103" s="15"/>
      <c r="S103" s="15"/>
    </row>
    <row r="104" spans="1:19" x14ac:dyDescent="0.15">
      <c r="A104" s="23">
        <v>15</v>
      </c>
      <c r="B104" s="17">
        <f t="shared" si="38"/>
        <v>18</v>
      </c>
      <c r="C104" s="23">
        <f>C103+2</f>
        <v>21</v>
      </c>
      <c r="D104" s="23">
        <f>D103+3</f>
        <v>24</v>
      </c>
      <c r="E104">
        <v>898.69</v>
      </c>
      <c r="F104" s="38">
        <v>9.5500000000000007</v>
      </c>
      <c r="G104">
        <f t="shared" si="29"/>
        <v>94.103664921465963</v>
      </c>
      <c r="H104" s="15">
        <v>5</v>
      </c>
      <c r="I104" s="15">
        <v>6</v>
      </c>
      <c r="J104" s="15">
        <f t="shared" si="34"/>
        <v>23</v>
      </c>
      <c r="K104" s="15">
        <f t="shared" si="34"/>
        <v>24</v>
      </c>
      <c r="L104" s="15">
        <v>-12.42</v>
      </c>
      <c r="M104" s="15">
        <v>5.72</v>
      </c>
      <c r="N104" s="15">
        <f t="shared" si="30"/>
        <v>2.1713286713286712</v>
      </c>
      <c r="O104" s="15">
        <v>17</v>
      </c>
      <c r="P104" s="15">
        <f t="shared" si="35"/>
        <v>22</v>
      </c>
      <c r="Q104" s="15">
        <f t="shared" si="37"/>
        <v>3</v>
      </c>
      <c r="R104" s="15"/>
      <c r="S104" s="15"/>
    </row>
    <row r="105" spans="1:19" x14ac:dyDescent="0.15">
      <c r="A105" s="23">
        <v>15</v>
      </c>
      <c r="B105" s="17">
        <f t="shared" si="38"/>
        <v>19</v>
      </c>
      <c r="C105" s="23">
        <f>C104+2</f>
        <v>23</v>
      </c>
      <c r="D105" s="23">
        <v>3</v>
      </c>
      <c r="E105">
        <v>451.96</v>
      </c>
      <c r="F105" s="38">
        <v>6.07</v>
      </c>
      <c r="G105">
        <f t="shared" si="29"/>
        <v>74.457990115321252</v>
      </c>
      <c r="H105" s="15">
        <v>5</v>
      </c>
      <c r="I105" s="15">
        <v>6</v>
      </c>
      <c r="J105" s="15">
        <f>J104+1</f>
        <v>24</v>
      </c>
      <c r="K105" s="15">
        <v>1</v>
      </c>
      <c r="L105" s="15">
        <v>-22.31</v>
      </c>
      <c r="M105" s="15">
        <v>5.75</v>
      </c>
      <c r="N105" s="15">
        <f t="shared" si="30"/>
        <v>3.88</v>
      </c>
      <c r="O105" s="15">
        <v>17</v>
      </c>
      <c r="P105" s="15">
        <f t="shared" si="35"/>
        <v>23</v>
      </c>
      <c r="Q105" s="15">
        <f t="shared" si="37"/>
        <v>5</v>
      </c>
      <c r="R105" s="15"/>
      <c r="S105" s="15"/>
    </row>
    <row r="106" spans="1:19" x14ac:dyDescent="0.15">
      <c r="A106" s="23">
        <v>15</v>
      </c>
      <c r="B106" s="17">
        <f t="shared" si="38"/>
        <v>20</v>
      </c>
      <c r="C106" s="23">
        <v>1</v>
      </c>
      <c r="D106" s="23">
        <f>D105+3</f>
        <v>6</v>
      </c>
      <c r="E106">
        <v>436.8</v>
      </c>
      <c r="F106" s="38">
        <v>6.71</v>
      </c>
      <c r="G106">
        <f t="shared" si="29"/>
        <v>65.096870342771979</v>
      </c>
      <c r="H106" s="15">
        <v>5</v>
      </c>
      <c r="I106" s="15">
        <v>6</v>
      </c>
      <c r="J106" s="15">
        <v>1</v>
      </c>
      <c r="K106" s="15">
        <f>K105+1</f>
        <v>2</v>
      </c>
      <c r="L106" s="15">
        <v>-43.06</v>
      </c>
      <c r="M106" s="15">
        <v>5.96</v>
      </c>
      <c r="N106" s="15">
        <f t="shared" si="30"/>
        <v>7.224832214765101</v>
      </c>
      <c r="O106" s="15">
        <v>18</v>
      </c>
      <c r="P106" s="15">
        <v>19</v>
      </c>
      <c r="Q106" s="15">
        <v>20</v>
      </c>
      <c r="R106" s="15"/>
      <c r="S106" s="15"/>
    </row>
    <row r="107" spans="1:19" x14ac:dyDescent="0.15">
      <c r="A107" s="23">
        <v>15</v>
      </c>
      <c r="B107" s="17">
        <f t="shared" si="38"/>
        <v>21</v>
      </c>
      <c r="C107" s="23">
        <f>C106+2</f>
        <v>3</v>
      </c>
      <c r="D107" s="23">
        <f>D106+3</f>
        <v>9</v>
      </c>
      <c r="E107">
        <v>411.7</v>
      </c>
      <c r="F107" s="38">
        <v>8.2200000000000006</v>
      </c>
      <c r="G107">
        <f t="shared" si="29"/>
        <v>50.085158150851576</v>
      </c>
      <c r="H107" s="15">
        <v>5</v>
      </c>
      <c r="I107" s="15">
        <v>6</v>
      </c>
      <c r="J107" s="15">
        <f>J106+1</f>
        <v>2</v>
      </c>
      <c r="K107" s="15">
        <f>K106+1</f>
        <v>3</v>
      </c>
      <c r="L107" s="15">
        <v>-96.04</v>
      </c>
      <c r="M107" s="15">
        <v>6.19</v>
      </c>
      <c r="N107" s="15">
        <f t="shared" si="30"/>
        <v>15.51534733441034</v>
      </c>
      <c r="O107" s="15">
        <v>18</v>
      </c>
      <c r="P107" s="15">
        <f t="shared" si="35"/>
        <v>20</v>
      </c>
      <c r="Q107" s="15">
        <f t="shared" si="37"/>
        <v>22</v>
      </c>
      <c r="R107" s="15"/>
      <c r="S107" s="15"/>
    </row>
    <row r="108" spans="1:19" x14ac:dyDescent="0.15">
      <c r="A108" s="23">
        <v>15</v>
      </c>
      <c r="B108" s="17">
        <f t="shared" si="38"/>
        <v>22</v>
      </c>
      <c r="C108" s="23">
        <f>C107+2</f>
        <v>5</v>
      </c>
      <c r="D108" s="23">
        <f>D107+3</f>
        <v>12</v>
      </c>
      <c r="E108">
        <v>297.35000000000002</v>
      </c>
      <c r="F108" s="38">
        <v>10.39</v>
      </c>
      <c r="G108">
        <f t="shared" si="29"/>
        <v>28.618864292589027</v>
      </c>
      <c r="H108" s="15">
        <v>5</v>
      </c>
      <c r="I108" s="15">
        <v>6</v>
      </c>
      <c r="J108" s="15">
        <f>J107+1</f>
        <v>3</v>
      </c>
      <c r="K108" s="15">
        <f>K107+1</f>
        <v>4</v>
      </c>
      <c r="L108" s="15">
        <v>-254.09</v>
      </c>
      <c r="M108" s="15">
        <v>5.84</v>
      </c>
      <c r="N108" s="15">
        <f t="shared" si="30"/>
        <v>43.50856164383562</v>
      </c>
      <c r="O108" s="15">
        <v>18</v>
      </c>
      <c r="P108" s="15">
        <f t="shared" si="35"/>
        <v>21</v>
      </c>
      <c r="Q108" s="15">
        <f t="shared" si="37"/>
        <v>24</v>
      </c>
      <c r="R108" s="15"/>
      <c r="S108" s="15"/>
    </row>
    <row r="109" spans="1:19" x14ac:dyDescent="0.15">
      <c r="A109" s="23">
        <v>16</v>
      </c>
      <c r="B109" s="17">
        <f>A109+1</f>
        <v>17</v>
      </c>
      <c r="C109" s="23">
        <f>B109+1</f>
        <v>18</v>
      </c>
      <c r="D109" s="23">
        <f>C109+1</f>
        <v>19</v>
      </c>
      <c r="E109">
        <v>1224.8800000000001</v>
      </c>
      <c r="F109" s="38">
        <v>6.14</v>
      </c>
      <c r="G109">
        <f t="shared" si="29"/>
        <v>199.49185667752445</v>
      </c>
      <c r="H109" s="15">
        <v>6</v>
      </c>
      <c r="I109" s="15">
        <v>7</v>
      </c>
      <c r="J109" s="15">
        <f>I109+1</f>
        <v>8</v>
      </c>
      <c r="K109" s="15">
        <f>J109+1</f>
        <v>9</v>
      </c>
      <c r="L109" s="15">
        <v>-347.74</v>
      </c>
      <c r="M109" s="15">
        <v>5.6</v>
      </c>
      <c r="N109" s="15">
        <f t="shared" si="30"/>
        <v>62.096428571428575</v>
      </c>
      <c r="O109" s="15">
        <v>18</v>
      </c>
      <c r="P109" s="15">
        <f t="shared" si="35"/>
        <v>22</v>
      </c>
      <c r="Q109" s="15">
        <v>2</v>
      </c>
      <c r="R109" s="15"/>
      <c r="S109" s="15"/>
    </row>
    <row r="110" spans="1:19" x14ac:dyDescent="0.15">
      <c r="A110" s="23">
        <v>16</v>
      </c>
      <c r="B110" s="17">
        <f t="shared" ref="B110:B115" si="39">B109+1</f>
        <v>18</v>
      </c>
      <c r="C110" s="23">
        <f>C109+2</f>
        <v>20</v>
      </c>
      <c r="D110" s="23">
        <f>D109+3</f>
        <v>22</v>
      </c>
      <c r="E110">
        <v>823.02</v>
      </c>
      <c r="F110" s="38">
        <v>6.5</v>
      </c>
      <c r="G110">
        <f t="shared" si="29"/>
        <v>126.61846153846153</v>
      </c>
      <c r="H110" s="15">
        <v>6</v>
      </c>
      <c r="I110" s="15">
        <v>7</v>
      </c>
      <c r="J110" s="15">
        <f t="shared" ref="J110:K124" si="40">J109+1</f>
        <v>9</v>
      </c>
      <c r="K110" s="15">
        <f t="shared" si="40"/>
        <v>10</v>
      </c>
      <c r="L110" s="15">
        <v>-94.41</v>
      </c>
      <c r="M110" s="15">
        <v>5.55</v>
      </c>
      <c r="N110" s="15">
        <f t="shared" si="30"/>
        <v>17.01081081081081</v>
      </c>
      <c r="O110" s="15">
        <v>18</v>
      </c>
      <c r="P110" s="15">
        <f t="shared" si="35"/>
        <v>23</v>
      </c>
      <c r="Q110" s="15">
        <f t="shared" si="37"/>
        <v>4</v>
      </c>
      <c r="R110" s="15"/>
      <c r="S110" s="15"/>
    </row>
    <row r="111" spans="1:19" x14ac:dyDescent="0.15">
      <c r="A111" s="23">
        <v>16</v>
      </c>
      <c r="B111" s="17">
        <f t="shared" si="39"/>
        <v>19</v>
      </c>
      <c r="C111" s="23">
        <f>C110+2</f>
        <v>22</v>
      </c>
      <c r="D111" s="23">
        <v>1</v>
      </c>
      <c r="E111">
        <v>791.52</v>
      </c>
      <c r="F111" s="38">
        <v>8.84</v>
      </c>
      <c r="G111">
        <f t="shared" si="29"/>
        <v>89.538461538461533</v>
      </c>
      <c r="H111" s="15">
        <v>6</v>
      </c>
      <c r="I111" s="15">
        <v>7</v>
      </c>
      <c r="J111" s="15">
        <f t="shared" si="40"/>
        <v>10</v>
      </c>
      <c r="K111" s="15">
        <f t="shared" si="40"/>
        <v>11</v>
      </c>
      <c r="L111" s="15">
        <v>-41.65</v>
      </c>
      <c r="M111" s="15">
        <v>5.85</v>
      </c>
      <c r="N111" s="15">
        <f t="shared" si="30"/>
        <v>7.1196581196581201</v>
      </c>
      <c r="O111" s="15">
        <v>18</v>
      </c>
      <c r="P111" s="15">
        <f t="shared" si="35"/>
        <v>24</v>
      </c>
      <c r="Q111" s="15">
        <f t="shared" si="37"/>
        <v>6</v>
      </c>
      <c r="R111" s="15"/>
      <c r="S111" s="15"/>
    </row>
    <row r="112" spans="1:19" x14ac:dyDescent="0.15">
      <c r="A112" s="23">
        <v>16</v>
      </c>
      <c r="B112" s="17">
        <f t="shared" si="39"/>
        <v>20</v>
      </c>
      <c r="C112" s="23">
        <f>C111+2</f>
        <v>24</v>
      </c>
      <c r="D112" s="23">
        <v>4</v>
      </c>
      <c r="E112">
        <v>600.41999999999996</v>
      </c>
      <c r="F112" s="38">
        <v>7.92</v>
      </c>
      <c r="G112">
        <f t="shared" si="29"/>
        <v>75.810606060606062</v>
      </c>
      <c r="H112" s="15">
        <v>6</v>
      </c>
      <c r="I112" s="15">
        <v>7</v>
      </c>
      <c r="J112" s="15">
        <f t="shared" si="40"/>
        <v>11</v>
      </c>
      <c r="K112" s="15">
        <f t="shared" si="40"/>
        <v>12</v>
      </c>
      <c r="L112" s="15">
        <v>-21.5</v>
      </c>
      <c r="M112" s="15">
        <v>5.82</v>
      </c>
      <c r="N112" s="15">
        <f t="shared" si="30"/>
        <v>3.6941580756013743</v>
      </c>
      <c r="O112" s="15">
        <v>19</v>
      </c>
      <c r="P112" s="15">
        <v>20</v>
      </c>
      <c r="Q112" s="15">
        <v>21</v>
      </c>
      <c r="R112" s="15"/>
      <c r="S112" s="15"/>
    </row>
    <row r="113" spans="1:19" x14ac:dyDescent="0.15">
      <c r="A113" s="23">
        <v>16</v>
      </c>
      <c r="B113" s="17">
        <f t="shared" si="39"/>
        <v>21</v>
      </c>
      <c r="C113" s="23">
        <v>2</v>
      </c>
      <c r="D113" s="23">
        <f>D112+3</f>
        <v>7</v>
      </c>
      <c r="E113">
        <v>435.51</v>
      </c>
      <c r="F113" s="38">
        <v>6.49</v>
      </c>
      <c r="G113">
        <f t="shared" si="29"/>
        <v>67.104776579352844</v>
      </c>
      <c r="H113" s="15">
        <v>6</v>
      </c>
      <c r="I113" s="15">
        <v>7</v>
      </c>
      <c r="J113" s="15">
        <f t="shared" si="40"/>
        <v>12</v>
      </c>
      <c r="K113" s="15">
        <f t="shared" si="40"/>
        <v>13</v>
      </c>
      <c r="L113" s="15">
        <v>-16.7</v>
      </c>
      <c r="M113" s="15">
        <v>5.74</v>
      </c>
      <c r="N113" s="15">
        <f t="shared" si="30"/>
        <v>2.9094076655052263</v>
      </c>
      <c r="O113" s="15">
        <v>19</v>
      </c>
      <c r="P113" s="15">
        <f t="shared" si="35"/>
        <v>21</v>
      </c>
      <c r="Q113" s="15">
        <f t="shared" si="37"/>
        <v>23</v>
      </c>
      <c r="R113" s="15"/>
      <c r="S113" s="15"/>
    </row>
    <row r="114" spans="1:19" x14ac:dyDescent="0.15">
      <c r="A114" s="23">
        <v>16</v>
      </c>
      <c r="B114" s="17">
        <f t="shared" si="39"/>
        <v>22</v>
      </c>
      <c r="C114" s="23">
        <f>C113+2</f>
        <v>4</v>
      </c>
      <c r="D114" s="23">
        <f>D113+3</f>
        <v>10</v>
      </c>
      <c r="E114">
        <v>487.43</v>
      </c>
      <c r="F114" s="38">
        <v>9.82</v>
      </c>
      <c r="G114">
        <f t="shared" si="29"/>
        <v>49.636456211812629</v>
      </c>
      <c r="H114" s="15">
        <v>6</v>
      </c>
      <c r="I114" s="15">
        <v>7</v>
      </c>
      <c r="J114" s="15">
        <f t="shared" si="40"/>
        <v>13</v>
      </c>
      <c r="K114" s="15">
        <f t="shared" si="40"/>
        <v>14</v>
      </c>
      <c r="L114" s="15">
        <v>-11.6</v>
      </c>
      <c r="M114" s="15">
        <v>5.63</v>
      </c>
      <c r="N114" s="15">
        <f t="shared" si="30"/>
        <v>2.0603907637655419</v>
      </c>
      <c r="O114" s="15">
        <v>19</v>
      </c>
      <c r="P114" s="15">
        <f t="shared" si="35"/>
        <v>22</v>
      </c>
      <c r="Q114" s="15">
        <v>1</v>
      </c>
      <c r="R114" s="15"/>
      <c r="S114" s="15"/>
    </row>
    <row r="115" spans="1:19" x14ac:dyDescent="0.15">
      <c r="A115" s="23">
        <v>16</v>
      </c>
      <c r="B115" s="17">
        <f t="shared" si="39"/>
        <v>23</v>
      </c>
      <c r="C115" s="23">
        <f>C114+2</f>
        <v>6</v>
      </c>
      <c r="D115" s="23">
        <f>D114+3</f>
        <v>13</v>
      </c>
      <c r="E115">
        <v>222.84</v>
      </c>
      <c r="F115" s="38">
        <v>7.86</v>
      </c>
      <c r="G115">
        <f t="shared" si="29"/>
        <v>28.351145038167939</v>
      </c>
      <c r="H115" s="15">
        <v>6</v>
      </c>
      <c r="I115" s="15">
        <v>7</v>
      </c>
      <c r="J115" s="15">
        <f t="shared" si="40"/>
        <v>14</v>
      </c>
      <c r="K115" s="15">
        <f t="shared" si="40"/>
        <v>15</v>
      </c>
      <c r="L115" s="15">
        <v>-9.84</v>
      </c>
      <c r="M115" s="15">
        <v>5.56</v>
      </c>
      <c r="N115" s="15">
        <f t="shared" si="30"/>
        <v>1.7697841726618706</v>
      </c>
      <c r="O115" s="15">
        <v>19</v>
      </c>
      <c r="P115" s="15">
        <f t="shared" si="35"/>
        <v>23</v>
      </c>
      <c r="Q115" s="15">
        <f t="shared" si="37"/>
        <v>3</v>
      </c>
      <c r="R115" s="15"/>
      <c r="S115" s="15"/>
    </row>
    <row r="116" spans="1:19" x14ac:dyDescent="0.15">
      <c r="A116" s="23">
        <v>17</v>
      </c>
      <c r="B116" s="17">
        <f>A116+1</f>
        <v>18</v>
      </c>
      <c r="C116" s="23">
        <f>B116+1</f>
        <v>19</v>
      </c>
      <c r="D116" s="23">
        <f>C116+1</f>
        <v>20</v>
      </c>
      <c r="E116">
        <v>1715.54</v>
      </c>
      <c r="F116" s="38">
        <v>7.53</v>
      </c>
      <c r="G116">
        <f t="shared" si="29"/>
        <v>227.8273572377158</v>
      </c>
      <c r="H116" s="15">
        <v>6</v>
      </c>
      <c r="I116" s="15">
        <v>7</v>
      </c>
      <c r="J116" s="15">
        <f t="shared" si="40"/>
        <v>15</v>
      </c>
      <c r="K116" s="15">
        <f t="shared" si="40"/>
        <v>16</v>
      </c>
      <c r="L116" s="15">
        <v>-8.8800000000000008</v>
      </c>
      <c r="M116" s="15">
        <v>5.73</v>
      </c>
      <c r="N116" s="15">
        <f t="shared" si="30"/>
        <v>1.549738219895288</v>
      </c>
      <c r="O116" s="15">
        <v>19</v>
      </c>
      <c r="P116" s="15">
        <f t="shared" si="35"/>
        <v>24</v>
      </c>
      <c r="Q116" s="15">
        <f t="shared" si="37"/>
        <v>5</v>
      </c>
      <c r="R116" s="15"/>
      <c r="S116" s="15"/>
    </row>
    <row r="117" spans="1:19" x14ac:dyDescent="0.15">
      <c r="A117" s="23">
        <v>17</v>
      </c>
      <c r="B117" s="17">
        <f t="shared" ref="B117:B122" si="41">B116+1</f>
        <v>19</v>
      </c>
      <c r="C117" s="23">
        <f>C116+2</f>
        <v>21</v>
      </c>
      <c r="D117" s="23">
        <f>D116+3</f>
        <v>23</v>
      </c>
      <c r="E117">
        <v>550.09</v>
      </c>
      <c r="F117" s="38">
        <v>4.8</v>
      </c>
      <c r="G117">
        <f t="shared" si="29"/>
        <v>114.60208333333334</v>
      </c>
      <c r="H117" s="15">
        <v>6</v>
      </c>
      <c r="I117" s="15">
        <v>7</v>
      </c>
      <c r="J117" s="15">
        <f t="shared" si="40"/>
        <v>16</v>
      </c>
      <c r="K117" s="15">
        <f t="shared" si="40"/>
        <v>17</v>
      </c>
      <c r="L117" s="15">
        <v>-8.39</v>
      </c>
      <c r="M117" s="15">
        <v>5.54</v>
      </c>
      <c r="N117" s="15">
        <f t="shared" si="30"/>
        <v>1.5144404332129964</v>
      </c>
      <c r="O117" s="15">
        <v>19</v>
      </c>
      <c r="P117" s="15">
        <v>1</v>
      </c>
      <c r="Q117" s="15">
        <f t="shared" si="37"/>
        <v>7</v>
      </c>
      <c r="R117" s="15"/>
      <c r="S117" s="15"/>
    </row>
    <row r="118" spans="1:19" x14ac:dyDescent="0.15">
      <c r="A118" s="23">
        <v>17</v>
      </c>
      <c r="B118" s="17">
        <f t="shared" si="41"/>
        <v>20</v>
      </c>
      <c r="C118" s="23">
        <f>C117+2</f>
        <v>23</v>
      </c>
      <c r="D118" s="23">
        <v>2</v>
      </c>
      <c r="E118">
        <v>703.01</v>
      </c>
      <c r="F118" s="38">
        <v>7.94</v>
      </c>
      <c r="G118">
        <f t="shared" si="29"/>
        <v>88.540302267002517</v>
      </c>
      <c r="H118" s="15">
        <v>6</v>
      </c>
      <c r="I118" s="15">
        <v>7</v>
      </c>
      <c r="J118" s="15">
        <f t="shared" si="40"/>
        <v>17</v>
      </c>
      <c r="K118" s="15">
        <f t="shared" si="40"/>
        <v>18</v>
      </c>
      <c r="L118" s="15">
        <v>-7.57</v>
      </c>
      <c r="M118" s="15">
        <v>5.28</v>
      </c>
      <c r="N118" s="15">
        <f t="shared" si="30"/>
        <v>1.4337121212121211</v>
      </c>
      <c r="O118" s="15">
        <v>20</v>
      </c>
      <c r="P118" s="15">
        <v>21</v>
      </c>
      <c r="Q118" s="15">
        <v>22</v>
      </c>
      <c r="R118" s="15"/>
      <c r="S118" s="15"/>
    </row>
    <row r="119" spans="1:19" x14ac:dyDescent="0.15">
      <c r="A119" s="23">
        <v>17</v>
      </c>
      <c r="B119" s="17">
        <f t="shared" si="41"/>
        <v>21</v>
      </c>
      <c r="C119" s="23">
        <v>1</v>
      </c>
      <c r="D119" s="23">
        <f>D118+3</f>
        <v>5</v>
      </c>
      <c r="E119">
        <v>577.42999999999995</v>
      </c>
      <c r="F119" s="38">
        <v>7.23</v>
      </c>
      <c r="G119">
        <f t="shared" si="29"/>
        <v>79.865836791147984</v>
      </c>
      <c r="H119" s="15">
        <v>6</v>
      </c>
      <c r="I119" s="15">
        <v>7</v>
      </c>
      <c r="J119" s="15">
        <f t="shared" si="40"/>
        <v>18</v>
      </c>
      <c r="K119" s="15">
        <f t="shared" si="40"/>
        <v>19</v>
      </c>
      <c r="L119" s="15">
        <v>-7.91</v>
      </c>
      <c r="M119" s="15">
        <v>5.31</v>
      </c>
      <c r="N119" s="15">
        <f t="shared" si="30"/>
        <v>1.489642184557439</v>
      </c>
      <c r="O119" s="15">
        <v>20</v>
      </c>
      <c r="P119" s="15">
        <f t="shared" si="35"/>
        <v>22</v>
      </c>
      <c r="Q119" s="15">
        <f t="shared" si="37"/>
        <v>24</v>
      </c>
      <c r="R119" s="15"/>
      <c r="S119" s="15"/>
    </row>
    <row r="120" spans="1:19" x14ac:dyDescent="0.15">
      <c r="A120" s="23">
        <v>17</v>
      </c>
      <c r="B120" s="17">
        <f t="shared" si="41"/>
        <v>22</v>
      </c>
      <c r="C120" s="23">
        <f>C119+2</f>
        <v>3</v>
      </c>
      <c r="D120" s="23">
        <f>D119+3</f>
        <v>8</v>
      </c>
      <c r="E120">
        <v>498.86</v>
      </c>
      <c r="F120" s="38">
        <v>7.55</v>
      </c>
      <c r="G120">
        <f t="shared" si="29"/>
        <v>66.07417218543047</v>
      </c>
      <c r="H120" s="15">
        <v>6</v>
      </c>
      <c r="I120" s="15">
        <v>7</v>
      </c>
      <c r="J120" s="15">
        <f t="shared" si="40"/>
        <v>19</v>
      </c>
      <c r="K120" s="15">
        <f t="shared" si="40"/>
        <v>20</v>
      </c>
      <c r="L120" s="15">
        <v>-7.21</v>
      </c>
      <c r="M120" s="15">
        <v>5.36</v>
      </c>
      <c r="N120" s="15">
        <f t="shared" si="30"/>
        <v>1.3451492537313432</v>
      </c>
      <c r="O120" s="15">
        <v>20</v>
      </c>
      <c r="P120" s="15">
        <f t="shared" si="35"/>
        <v>23</v>
      </c>
      <c r="Q120" s="15">
        <v>2</v>
      </c>
      <c r="R120" s="15"/>
      <c r="S120" s="15"/>
    </row>
    <row r="121" spans="1:19" x14ac:dyDescent="0.15">
      <c r="A121" s="23">
        <v>17</v>
      </c>
      <c r="B121" s="17">
        <f t="shared" si="41"/>
        <v>23</v>
      </c>
      <c r="C121" s="23">
        <f>C120+2</f>
        <v>5</v>
      </c>
      <c r="D121" s="23">
        <f>D120+3</f>
        <v>11</v>
      </c>
      <c r="E121">
        <v>245.61</v>
      </c>
      <c r="F121" s="38">
        <v>4.95</v>
      </c>
      <c r="G121">
        <f t="shared" si="29"/>
        <v>49.618181818181817</v>
      </c>
      <c r="H121" s="15">
        <v>6</v>
      </c>
      <c r="I121" s="15">
        <v>7</v>
      </c>
      <c r="J121" s="15">
        <f t="shared" si="40"/>
        <v>20</v>
      </c>
      <c r="K121" s="15">
        <f t="shared" si="40"/>
        <v>21</v>
      </c>
      <c r="L121" s="15">
        <v>-6.2</v>
      </c>
      <c r="M121" s="15">
        <v>5.01</v>
      </c>
      <c r="N121" s="15">
        <f t="shared" si="30"/>
        <v>1.2375249500998005</v>
      </c>
      <c r="O121" s="15">
        <v>20</v>
      </c>
      <c r="P121" s="15">
        <f t="shared" si="35"/>
        <v>24</v>
      </c>
      <c r="Q121" s="15">
        <f t="shared" si="37"/>
        <v>4</v>
      </c>
      <c r="R121" s="15"/>
      <c r="S121" s="15"/>
    </row>
    <row r="122" spans="1:19" x14ac:dyDescent="0.15">
      <c r="A122" s="23">
        <v>17</v>
      </c>
      <c r="B122" s="17">
        <f t="shared" si="41"/>
        <v>24</v>
      </c>
      <c r="C122" s="23">
        <f>C121+2</f>
        <v>7</v>
      </c>
      <c r="D122" s="23">
        <f>D121+3</f>
        <v>14</v>
      </c>
      <c r="E122">
        <v>224.88</v>
      </c>
      <c r="F122" s="38">
        <v>7.66</v>
      </c>
      <c r="G122">
        <f t="shared" si="29"/>
        <v>29.357702349869452</v>
      </c>
      <c r="H122" s="15">
        <v>6</v>
      </c>
      <c r="I122" s="15">
        <v>7</v>
      </c>
      <c r="J122" s="15">
        <f t="shared" si="40"/>
        <v>21</v>
      </c>
      <c r="K122" s="15">
        <f t="shared" si="40"/>
        <v>22</v>
      </c>
      <c r="L122" s="15">
        <v>-6.89</v>
      </c>
      <c r="M122" s="15">
        <v>4.91</v>
      </c>
      <c r="N122" s="15">
        <f t="shared" si="30"/>
        <v>1.4032586558044806</v>
      </c>
      <c r="O122" s="15">
        <v>20</v>
      </c>
      <c r="P122" s="15">
        <v>1</v>
      </c>
      <c r="Q122" s="15">
        <f t="shared" si="37"/>
        <v>6</v>
      </c>
      <c r="R122" s="15"/>
      <c r="S122" s="15"/>
    </row>
    <row r="123" spans="1:19" x14ac:dyDescent="0.15">
      <c r="A123" s="23">
        <v>18</v>
      </c>
      <c r="B123" s="17">
        <f>A123+1</f>
        <v>19</v>
      </c>
      <c r="C123" s="23">
        <f>B123+1</f>
        <v>20</v>
      </c>
      <c r="D123" s="23">
        <f>C123+1</f>
        <v>21</v>
      </c>
      <c r="E123">
        <v>1933.32</v>
      </c>
      <c r="F123" s="38">
        <v>9.39</v>
      </c>
      <c r="G123">
        <f t="shared" si="29"/>
        <v>205.89137380191693</v>
      </c>
      <c r="H123" s="15">
        <v>6</v>
      </c>
      <c r="I123" s="15">
        <v>7</v>
      </c>
      <c r="J123" s="15">
        <f t="shared" si="40"/>
        <v>22</v>
      </c>
      <c r="K123" s="15">
        <f t="shared" si="40"/>
        <v>23</v>
      </c>
      <c r="L123" s="15">
        <v>-9.1300000000000008</v>
      </c>
      <c r="M123" s="15">
        <v>5.04</v>
      </c>
      <c r="N123" s="15">
        <f t="shared" si="30"/>
        <v>1.8115079365079367</v>
      </c>
      <c r="O123" s="15">
        <v>20</v>
      </c>
      <c r="P123" s="15">
        <f t="shared" si="35"/>
        <v>2</v>
      </c>
      <c r="Q123" s="15">
        <f t="shared" si="37"/>
        <v>8</v>
      </c>
      <c r="R123" s="15"/>
      <c r="S123" s="15"/>
    </row>
    <row r="124" spans="1:19" x14ac:dyDescent="0.15">
      <c r="A124" s="23">
        <v>18</v>
      </c>
      <c r="B124" s="17">
        <f>B123+1</f>
        <v>20</v>
      </c>
      <c r="C124" s="23">
        <f>C123+2</f>
        <v>22</v>
      </c>
      <c r="D124" s="23">
        <f>D123+3</f>
        <v>24</v>
      </c>
      <c r="E124">
        <v>1147.5</v>
      </c>
      <c r="F124" s="38">
        <v>9.61</v>
      </c>
      <c r="G124">
        <f t="shared" si="29"/>
        <v>119.40686784599376</v>
      </c>
      <c r="H124" s="15">
        <v>6</v>
      </c>
      <c r="I124" s="15">
        <v>7</v>
      </c>
      <c r="J124" s="15">
        <f t="shared" si="40"/>
        <v>23</v>
      </c>
      <c r="K124" s="15">
        <f t="shared" si="40"/>
        <v>24</v>
      </c>
      <c r="L124" s="15">
        <v>-8.8800000000000008</v>
      </c>
      <c r="M124" s="15">
        <v>4.6900000000000004</v>
      </c>
      <c r="N124" s="15">
        <f t="shared" si="30"/>
        <v>1.8933901918976546</v>
      </c>
      <c r="O124" s="15">
        <v>21</v>
      </c>
      <c r="P124" s="15">
        <v>22</v>
      </c>
      <c r="Q124" s="15">
        <v>23</v>
      </c>
      <c r="R124" s="15"/>
      <c r="S124" s="15"/>
    </row>
    <row r="125" spans="1:19" x14ac:dyDescent="0.15">
      <c r="A125" s="23">
        <v>18</v>
      </c>
      <c r="B125" s="17">
        <f>B124+1</f>
        <v>21</v>
      </c>
      <c r="C125" s="23">
        <f>C124+2</f>
        <v>24</v>
      </c>
      <c r="D125" s="23">
        <v>3</v>
      </c>
      <c r="E125">
        <v>580.65</v>
      </c>
      <c r="F125" s="38">
        <v>6.31</v>
      </c>
      <c r="G125">
        <f t="shared" si="29"/>
        <v>92.020602218700475</v>
      </c>
      <c r="H125" s="15">
        <v>6</v>
      </c>
      <c r="I125" s="15">
        <v>7</v>
      </c>
      <c r="J125" s="15">
        <f>J124+1</f>
        <v>24</v>
      </c>
      <c r="K125" s="15">
        <v>1</v>
      </c>
      <c r="L125" s="15">
        <v>-12.28</v>
      </c>
      <c r="M125" s="15">
        <v>4.53</v>
      </c>
      <c r="N125" s="15">
        <f t="shared" si="30"/>
        <v>2.7108167770419422</v>
      </c>
      <c r="O125" s="15">
        <v>21</v>
      </c>
      <c r="P125" s="15">
        <f t="shared" si="35"/>
        <v>23</v>
      </c>
      <c r="Q125" s="15">
        <v>1</v>
      </c>
      <c r="R125" s="15"/>
      <c r="S125" s="15"/>
    </row>
    <row r="126" spans="1:19" x14ac:dyDescent="0.15">
      <c r="A126" s="23">
        <v>18</v>
      </c>
      <c r="B126" s="17">
        <f>B125+1</f>
        <v>22</v>
      </c>
      <c r="C126" s="23">
        <v>2</v>
      </c>
      <c r="D126" s="23">
        <f>D125+3</f>
        <v>6</v>
      </c>
      <c r="E126">
        <v>525.03</v>
      </c>
      <c r="F126" s="38">
        <v>7.31</v>
      </c>
      <c r="G126">
        <f t="shared" si="29"/>
        <v>71.82352941176471</v>
      </c>
      <c r="H126" s="15">
        <v>6</v>
      </c>
      <c r="I126" s="15">
        <v>7</v>
      </c>
      <c r="J126" s="15">
        <v>1</v>
      </c>
      <c r="K126" s="15">
        <f>K125+1</f>
        <v>2</v>
      </c>
      <c r="L126" s="15">
        <v>-23.09</v>
      </c>
      <c r="M126" s="15">
        <v>5.51</v>
      </c>
      <c r="N126" s="15">
        <f t="shared" si="30"/>
        <v>4.190562613430127</v>
      </c>
      <c r="O126" s="15">
        <v>21</v>
      </c>
      <c r="P126" s="15">
        <f t="shared" si="35"/>
        <v>24</v>
      </c>
      <c r="Q126" s="15">
        <f t="shared" si="37"/>
        <v>3</v>
      </c>
      <c r="R126" s="15"/>
      <c r="S126" s="15"/>
    </row>
    <row r="127" spans="1:19" x14ac:dyDescent="0.15">
      <c r="A127" s="23">
        <v>18</v>
      </c>
      <c r="B127" s="17">
        <f>B126+1</f>
        <v>23</v>
      </c>
      <c r="C127" s="23">
        <f>C126+2</f>
        <v>4</v>
      </c>
      <c r="D127" s="23">
        <f>D126+3</f>
        <v>9</v>
      </c>
      <c r="E127">
        <v>555.34</v>
      </c>
      <c r="F127" s="38">
        <v>8.32</v>
      </c>
      <c r="G127">
        <f t="shared" si="29"/>
        <v>66.74759615384616</v>
      </c>
      <c r="H127" s="15">
        <v>6</v>
      </c>
      <c r="I127" s="15">
        <v>7</v>
      </c>
      <c r="J127" s="15">
        <f>J126+1</f>
        <v>2</v>
      </c>
      <c r="K127" s="15">
        <f>K126+1</f>
        <v>3</v>
      </c>
      <c r="L127" s="15">
        <v>-44.3</v>
      </c>
      <c r="M127" s="15">
        <v>5.89</v>
      </c>
      <c r="N127" s="15">
        <f t="shared" si="30"/>
        <v>7.5212224108658745</v>
      </c>
      <c r="O127" s="15">
        <v>21</v>
      </c>
      <c r="P127" s="15">
        <v>1</v>
      </c>
      <c r="Q127" s="15">
        <f t="shared" si="37"/>
        <v>5</v>
      </c>
      <c r="R127" s="15"/>
      <c r="S127" s="15"/>
    </row>
    <row r="128" spans="1:19" x14ac:dyDescent="0.15">
      <c r="A128" s="23">
        <v>18</v>
      </c>
      <c r="B128" s="17">
        <f>B127+1</f>
        <v>24</v>
      </c>
      <c r="C128" s="23">
        <f>C127+2</f>
        <v>6</v>
      </c>
      <c r="D128" s="23">
        <f>D127+3</f>
        <v>12</v>
      </c>
      <c r="E128">
        <v>539.51</v>
      </c>
      <c r="F128" s="38">
        <v>10.62</v>
      </c>
      <c r="G128">
        <f t="shared" si="29"/>
        <v>50.801318267419965</v>
      </c>
      <c r="H128" s="15">
        <v>6</v>
      </c>
      <c r="I128" s="15">
        <v>7</v>
      </c>
      <c r="J128" s="15">
        <f>J127+1</f>
        <v>3</v>
      </c>
      <c r="K128" s="15">
        <f>K127+1</f>
        <v>4</v>
      </c>
      <c r="L128" s="15">
        <v>-100.96</v>
      </c>
      <c r="M128" s="15">
        <v>5.91</v>
      </c>
      <c r="N128" s="15">
        <f t="shared" si="30"/>
        <v>17.082910321488999</v>
      </c>
      <c r="O128" s="15">
        <v>21</v>
      </c>
      <c r="P128" s="15">
        <f t="shared" si="35"/>
        <v>2</v>
      </c>
      <c r="Q128" s="15">
        <f t="shared" si="37"/>
        <v>7</v>
      </c>
      <c r="R128" s="15"/>
      <c r="S128" s="15"/>
    </row>
    <row r="129" spans="1:19" x14ac:dyDescent="0.15">
      <c r="A129" s="23">
        <v>18</v>
      </c>
      <c r="B129" s="17">
        <v>1</v>
      </c>
      <c r="C129" s="23">
        <f>C128+2</f>
        <v>8</v>
      </c>
      <c r="D129" s="23">
        <f>D128+3</f>
        <v>15</v>
      </c>
      <c r="E129">
        <v>289.42</v>
      </c>
      <c r="F129" s="38">
        <v>9.8699999999999992</v>
      </c>
      <c r="G129">
        <f t="shared" si="29"/>
        <v>29.323201621073967</v>
      </c>
      <c r="H129" s="15">
        <v>6</v>
      </c>
      <c r="I129" s="15">
        <v>7</v>
      </c>
      <c r="J129" s="15">
        <f>J128+1</f>
        <v>4</v>
      </c>
      <c r="K129" s="15">
        <f>K128+1</f>
        <v>5</v>
      </c>
      <c r="L129" s="15">
        <v>-427.42</v>
      </c>
      <c r="M129" s="15">
        <v>6.1</v>
      </c>
      <c r="N129" s="15">
        <f t="shared" si="30"/>
        <v>70.068852459016398</v>
      </c>
      <c r="O129" s="15">
        <v>21</v>
      </c>
      <c r="P129" s="15">
        <f t="shared" si="35"/>
        <v>3</v>
      </c>
      <c r="Q129" s="15">
        <f t="shared" si="37"/>
        <v>9</v>
      </c>
      <c r="R129" s="15"/>
      <c r="S129" s="15"/>
    </row>
    <row r="130" spans="1:19" x14ac:dyDescent="0.15">
      <c r="A130" s="23">
        <v>19</v>
      </c>
      <c r="B130" s="17">
        <f>A130+1</f>
        <v>20</v>
      </c>
      <c r="C130" s="23">
        <f>B130+1</f>
        <v>21</v>
      </c>
      <c r="D130" s="23">
        <f>C130+1</f>
        <v>22</v>
      </c>
      <c r="E130">
        <v>968.81</v>
      </c>
      <c r="F130" s="38">
        <v>4.83</v>
      </c>
      <c r="G130">
        <f t="shared" si="29"/>
        <v>200.58178053830227</v>
      </c>
      <c r="H130" s="15">
        <v>7</v>
      </c>
      <c r="I130" s="15">
        <v>8</v>
      </c>
      <c r="J130" s="15">
        <f>I130+1</f>
        <v>9</v>
      </c>
      <c r="K130" s="15">
        <f>J130+1</f>
        <v>10</v>
      </c>
      <c r="L130" s="15">
        <v>-469.31</v>
      </c>
      <c r="M130" s="15">
        <v>6.63</v>
      </c>
      <c r="N130" s="15">
        <f t="shared" si="30"/>
        <v>70.785822021116147</v>
      </c>
      <c r="O130" s="15">
        <v>22</v>
      </c>
      <c r="P130" s="15">
        <v>23</v>
      </c>
      <c r="Q130" s="15">
        <v>24</v>
      </c>
      <c r="R130" s="15"/>
      <c r="S130" s="15"/>
    </row>
    <row r="131" spans="1:19" x14ac:dyDescent="0.15">
      <c r="A131" s="23">
        <v>19</v>
      </c>
      <c r="B131" s="17">
        <f>B130+1</f>
        <v>21</v>
      </c>
      <c r="C131" s="23">
        <f>C130+2</f>
        <v>23</v>
      </c>
      <c r="D131" s="23">
        <v>1</v>
      </c>
      <c r="E131">
        <v>796.6</v>
      </c>
      <c r="F131" s="38">
        <v>6.55</v>
      </c>
      <c r="G131">
        <f t="shared" si="29"/>
        <v>121.61832061068704</v>
      </c>
      <c r="H131" s="15">
        <v>7</v>
      </c>
      <c r="I131" s="15">
        <v>8</v>
      </c>
      <c r="J131" s="15">
        <f t="shared" ref="J131:K144" si="42">J130+1</f>
        <v>10</v>
      </c>
      <c r="K131" s="15">
        <f t="shared" si="42"/>
        <v>11</v>
      </c>
      <c r="L131" s="15">
        <v>-119.94</v>
      </c>
      <c r="M131" s="15">
        <v>6.62</v>
      </c>
      <c r="N131" s="15">
        <f t="shared" si="30"/>
        <v>18.117824773413897</v>
      </c>
      <c r="O131" s="15">
        <v>22</v>
      </c>
      <c r="P131" s="15">
        <f t="shared" si="35"/>
        <v>24</v>
      </c>
      <c r="Q131" s="15">
        <v>2</v>
      </c>
      <c r="R131" s="15"/>
      <c r="S131" s="15"/>
    </row>
    <row r="132" spans="1:19" x14ac:dyDescent="0.15">
      <c r="A132" s="23">
        <v>19</v>
      </c>
      <c r="B132" s="17">
        <f>B131+1</f>
        <v>22</v>
      </c>
      <c r="C132" s="23">
        <v>1</v>
      </c>
      <c r="D132" s="23">
        <f>D131+3</f>
        <v>4</v>
      </c>
      <c r="E132">
        <v>574.32000000000005</v>
      </c>
      <c r="F132" s="38">
        <v>6.38</v>
      </c>
      <c r="G132">
        <f t="shared" si="29"/>
        <v>90.01880877742947</v>
      </c>
      <c r="H132" s="15">
        <v>7</v>
      </c>
      <c r="I132" s="15">
        <v>8</v>
      </c>
      <c r="J132" s="15">
        <f t="shared" si="42"/>
        <v>11</v>
      </c>
      <c r="K132" s="15">
        <f t="shared" si="42"/>
        <v>12</v>
      </c>
      <c r="L132" s="15">
        <v>-49.36</v>
      </c>
      <c r="M132" s="15">
        <v>7.04</v>
      </c>
      <c r="N132" s="15">
        <f t="shared" si="30"/>
        <v>7.0113636363636367</v>
      </c>
      <c r="O132" s="15">
        <v>22</v>
      </c>
      <c r="P132" s="15">
        <v>1</v>
      </c>
      <c r="Q132" s="15">
        <f t="shared" si="37"/>
        <v>4</v>
      </c>
      <c r="R132" s="15"/>
      <c r="S132" s="15"/>
    </row>
    <row r="133" spans="1:19" x14ac:dyDescent="0.15">
      <c r="A133" s="23">
        <v>19</v>
      </c>
      <c r="B133" s="17">
        <f>B132+1</f>
        <v>23</v>
      </c>
      <c r="C133" s="23">
        <f>C132+2</f>
        <v>3</v>
      </c>
      <c r="D133" s="23">
        <f>D132+3</f>
        <v>7</v>
      </c>
      <c r="E133">
        <v>433.16</v>
      </c>
      <c r="F133" s="38">
        <v>5.2</v>
      </c>
      <c r="G133">
        <f t="shared" ref="G133:G171" si="43">E133/F133</f>
        <v>83.3</v>
      </c>
      <c r="H133" s="15">
        <v>7</v>
      </c>
      <c r="I133" s="15">
        <v>8</v>
      </c>
      <c r="J133" s="15">
        <f t="shared" si="42"/>
        <v>12</v>
      </c>
      <c r="K133" s="15">
        <f t="shared" si="42"/>
        <v>13</v>
      </c>
      <c r="L133" s="15">
        <v>-31.34</v>
      </c>
      <c r="M133" s="15">
        <v>6.79</v>
      </c>
      <c r="N133" s="15">
        <f t="shared" ref="N133:N196" si="44">-L133/M133</f>
        <v>4.6156111929307801</v>
      </c>
      <c r="O133" s="15">
        <v>22</v>
      </c>
      <c r="P133" s="15">
        <f t="shared" si="35"/>
        <v>2</v>
      </c>
      <c r="Q133" s="15">
        <f t="shared" si="37"/>
        <v>6</v>
      </c>
      <c r="R133" s="15"/>
      <c r="S133" s="15"/>
    </row>
    <row r="134" spans="1:19" x14ac:dyDescent="0.15">
      <c r="A134" s="23">
        <v>19</v>
      </c>
      <c r="B134" s="17">
        <f>B133+1</f>
        <v>24</v>
      </c>
      <c r="C134" s="23">
        <f>C133+2</f>
        <v>5</v>
      </c>
      <c r="D134" s="23">
        <f>D133+3</f>
        <v>10</v>
      </c>
      <c r="E134">
        <v>479.94</v>
      </c>
      <c r="F134" s="38">
        <v>6.92</v>
      </c>
      <c r="G134">
        <f t="shared" si="43"/>
        <v>69.355491329479776</v>
      </c>
      <c r="H134" s="15">
        <v>7</v>
      </c>
      <c r="I134" s="15">
        <v>8</v>
      </c>
      <c r="J134" s="15">
        <f t="shared" si="42"/>
        <v>13</v>
      </c>
      <c r="K134" s="15">
        <f t="shared" si="42"/>
        <v>14</v>
      </c>
      <c r="L134" s="15">
        <v>-20.72</v>
      </c>
      <c r="M134" s="15">
        <v>6.72</v>
      </c>
      <c r="N134" s="15">
        <f t="shared" si="44"/>
        <v>3.0833333333333335</v>
      </c>
      <c r="O134" s="15">
        <v>22</v>
      </c>
      <c r="P134" s="15">
        <f t="shared" si="35"/>
        <v>3</v>
      </c>
      <c r="Q134" s="15">
        <f t="shared" si="37"/>
        <v>8</v>
      </c>
      <c r="R134" s="15"/>
      <c r="S134" s="15"/>
    </row>
    <row r="135" spans="1:19" x14ac:dyDescent="0.15">
      <c r="A135" s="23">
        <v>19</v>
      </c>
      <c r="B135" s="17">
        <v>1</v>
      </c>
      <c r="C135" s="23">
        <f>C134+2</f>
        <v>7</v>
      </c>
      <c r="D135" s="23">
        <f>D134+3</f>
        <v>13</v>
      </c>
      <c r="E135">
        <v>281.10000000000002</v>
      </c>
      <c r="F135" s="38">
        <v>5.77</v>
      </c>
      <c r="G135">
        <f t="shared" si="43"/>
        <v>48.717504332755638</v>
      </c>
      <c r="H135" s="15">
        <v>7</v>
      </c>
      <c r="I135" s="15">
        <v>8</v>
      </c>
      <c r="J135" s="15">
        <f t="shared" si="42"/>
        <v>14</v>
      </c>
      <c r="K135" s="15">
        <f t="shared" si="42"/>
        <v>15</v>
      </c>
      <c r="L135" s="15">
        <v>-14.47</v>
      </c>
      <c r="M135" s="15">
        <v>6.93</v>
      </c>
      <c r="N135" s="15">
        <f t="shared" si="44"/>
        <v>2.0880230880230881</v>
      </c>
      <c r="O135" s="15">
        <v>22</v>
      </c>
      <c r="P135" s="15">
        <f t="shared" si="35"/>
        <v>4</v>
      </c>
      <c r="Q135" s="15">
        <f t="shared" si="37"/>
        <v>10</v>
      </c>
      <c r="R135" s="15"/>
      <c r="S135" s="15"/>
    </row>
    <row r="136" spans="1:19" x14ac:dyDescent="0.15">
      <c r="A136" s="23">
        <v>19</v>
      </c>
      <c r="B136" s="17">
        <f>B135+1</f>
        <v>2</v>
      </c>
      <c r="C136" s="23">
        <f>C135+2</f>
        <v>9</v>
      </c>
      <c r="D136" s="23">
        <f>D135+3</f>
        <v>16</v>
      </c>
      <c r="E136">
        <v>182.2</v>
      </c>
      <c r="F136" s="38">
        <v>6</v>
      </c>
      <c r="G136">
        <f t="shared" si="43"/>
        <v>30.366666666666664</v>
      </c>
      <c r="H136" s="15">
        <v>7</v>
      </c>
      <c r="I136" s="15">
        <v>8</v>
      </c>
      <c r="J136" s="15">
        <f t="shared" si="42"/>
        <v>15</v>
      </c>
      <c r="K136" s="15">
        <f t="shared" si="42"/>
        <v>16</v>
      </c>
      <c r="L136" s="15">
        <v>-13.03</v>
      </c>
      <c r="M136" s="15">
        <v>6.85</v>
      </c>
      <c r="N136" s="15">
        <f t="shared" si="44"/>
        <v>1.9021897810218977</v>
      </c>
      <c r="O136" s="15">
        <v>23</v>
      </c>
      <c r="P136" s="15">
        <v>24</v>
      </c>
      <c r="Q136" s="15">
        <v>1</v>
      </c>
      <c r="R136" s="15"/>
      <c r="S136" s="15"/>
    </row>
    <row r="137" spans="1:19" x14ac:dyDescent="0.15">
      <c r="A137" s="23">
        <v>20</v>
      </c>
      <c r="B137" s="17">
        <f>A137+1</f>
        <v>21</v>
      </c>
      <c r="C137" s="23">
        <f>B137+1</f>
        <v>22</v>
      </c>
      <c r="D137" s="23">
        <f>C137+1</f>
        <v>23</v>
      </c>
      <c r="E137">
        <v>1162.56</v>
      </c>
      <c r="F137" s="38">
        <v>4.8</v>
      </c>
      <c r="G137">
        <f t="shared" si="43"/>
        <v>242.2</v>
      </c>
      <c r="H137" s="15">
        <v>7</v>
      </c>
      <c r="I137" s="15">
        <v>8</v>
      </c>
      <c r="J137" s="15">
        <f t="shared" si="42"/>
        <v>16</v>
      </c>
      <c r="K137" s="15">
        <f t="shared" si="42"/>
        <v>17</v>
      </c>
      <c r="L137" s="15">
        <v>-14.69</v>
      </c>
      <c r="M137" s="15">
        <v>7.11</v>
      </c>
      <c r="N137" s="15">
        <f t="shared" si="44"/>
        <v>2.0661040787623066</v>
      </c>
      <c r="O137" s="15">
        <v>23</v>
      </c>
      <c r="P137" s="15">
        <v>1</v>
      </c>
      <c r="Q137" s="15">
        <f t="shared" si="37"/>
        <v>3</v>
      </c>
      <c r="R137" s="15"/>
      <c r="S137" s="15"/>
    </row>
    <row r="138" spans="1:19" x14ac:dyDescent="0.15">
      <c r="A138" s="23">
        <v>20</v>
      </c>
      <c r="B138" s="17">
        <f>B137+1</f>
        <v>22</v>
      </c>
      <c r="C138" s="23">
        <f>C137+2</f>
        <v>24</v>
      </c>
      <c r="D138" s="23">
        <v>2</v>
      </c>
      <c r="E138">
        <v>1016.09</v>
      </c>
      <c r="F138" s="38">
        <v>8.74</v>
      </c>
      <c r="G138">
        <f t="shared" si="43"/>
        <v>116.25743707093821</v>
      </c>
      <c r="H138" s="15">
        <v>7</v>
      </c>
      <c r="I138" s="15">
        <v>8</v>
      </c>
      <c r="J138" s="15">
        <f t="shared" si="42"/>
        <v>17</v>
      </c>
      <c r="K138" s="15">
        <f t="shared" si="42"/>
        <v>18</v>
      </c>
      <c r="L138" s="15">
        <v>-10.33</v>
      </c>
      <c r="M138" s="15">
        <v>7.16</v>
      </c>
      <c r="N138" s="15">
        <f t="shared" si="44"/>
        <v>1.4427374301675977</v>
      </c>
      <c r="O138" s="15">
        <v>23</v>
      </c>
      <c r="P138" s="15">
        <f t="shared" si="35"/>
        <v>2</v>
      </c>
      <c r="Q138" s="15">
        <f t="shared" si="37"/>
        <v>5</v>
      </c>
      <c r="R138" s="15"/>
      <c r="S138" s="15"/>
    </row>
    <row r="139" spans="1:19" x14ac:dyDescent="0.15">
      <c r="A139" s="23">
        <v>20</v>
      </c>
      <c r="B139" s="17">
        <f>B138+1</f>
        <v>23</v>
      </c>
      <c r="C139" s="23">
        <v>2</v>
      </c>
      <c r="D139" s="23">
        <f>D138+3</f>
        <v>5</v>
      </c>
      <c r="E139">
        <v>712.05</v>
      </c>
      <c r="F139" s="38">
        <v>7.19</v>
      </c>
      <c r="G139">
        <f t="shared" si="43"/>
        <v>99.033379694019459</v>
      </c>
      <c r="H139" s="15">
        <v>7</v>
      </c>
      <c r="I139" s="15">
        <v>8</v>
      </c>
      <c r="J139" s="15">
        <f t="shared" si="42"/>
        <v>18</v>
      </c>
      <c r="K139" s="15">
        <f t="shared" si="42"/>
        <v>19</v>
      </c>
      <c r="L139" s="15">
        <v>-11.41</v>
      </c>
      <c r="M139" s="15">
        <v>7.05</v>
      </c>
      <c r="N139" s="15">
        <f t="shared" si="44"/>
        <v>1.6184397163120567</v>
      </c>
      <c r="O139" s="15">
        <v>23</v>
      </c>
      <c r="P139" s="15">
        <f t="shared" si="35"/>
        <v>3</v>
      </c>
      <c r="Q139" s="15">
        <f t="shared" si="37"/>
        <v>7</v>
      </c>
      <c r="R139" s="15"/>
      <c r="S139" s="15"/>
    </row>
    <row r="140" spans="1:19" x14ac:dyDescent="0.15">
      <c r="A140" s="23">
        <v>20</v>
      </c>
      <c r="B140" s="17">
        <f>B139+1</f>
        <v>24</v>
      </c>
      <c r="C140" s="23">
        <f>C139+2</f>
        <v>4</v>
      </c>
      <c r="D140" s="23">
        <f>D139+3</f>
        <v>8</v>
      </c>
      <c r="E140">
        <v>675.64</v>
      </c>
      <c r="F140" s="38">
        <v>8.1300000000000008</v>
      </c>
      <c r="G140">
        <f t="shared" si="43"/>
        <v>83.104551045510448</v>
      </c>
      <c r="H140" s="15">
        <v>7</v>
      </c>
      <c r="I140" s="15">
        <v>8</v>
      </c>
      <c r="J140" s="15">
        <f t="shared" si="42"/>
        <v>19</v>
      </c>
      <c r="K140" s="15">
        <f t="shared" si="42"/>
        <v>20</v>
      </c>
      <c r="L140" s="15">
        <v>-9.7200000000000006</v>
      </c>
      <c r="M140" s="15">
        <v>6.95</v>
      </c>
      <c r="N140" s="15">
        <f t="shared" si="44"/>
        <v>1.3985611510791367</v>
      </c>
      <c r="O140" s="15">
        <v>23</v>
      </c>
      <c r="P140" s="15">
        <f t="shared" si="35"/>
        <v>4</v>
      </c>
      <c r="Q140" s="15">
        <f t="shared" si="37"/>
        <v>9</v>
      </c>
      <c r="R140" s="15"/>
      <c r="S140" s="15"/>
    </row>
    <row r="141" spans="1:19" x14ac:dyDescent="0.15">
      <c r="A141" s="23">
        <v>20</v>
      </c>
      <c r="B141" s="17">
        <v>1</v>
      </c>
      <c r="C141" s="23">
        <f>C140+2</f>
        <v>6</v>
      </c>
      <c r="D141" s="23">
        <f>D140+3</f>
        <v>11</v>
      </c>
      <c r="E141">
        <v>358.28</v>
      </c>
      <c r="F141" s="38">
        <v>5.3</v>
      </c>
      <c r="G141">
        <f t="shared" si="43"/>
        <v>67.599999999999994</v>
      </c>
      <c r="H141" s="15">
        <v>7</v>
      </c>
      <c r="I141" s="15">
        <v>8</v>
      </c>
      <c r="J141" s="15">
        <f t="shared" si="42"/>
        <v>20</v>
      </c>
      <c r="K141" s="15">
        <f t="shared" si="42"/>
        <v>21</v>
      </c>
      <c r="L141" s="15">
        <v>-7.25</v>
      </c>
      <c r="M141" s="15">
        <v>6</v>
      </c>
      <c r="N141" s="15">
        <f t="shared" si="44"/>
        <v>1.2083333333333333</v>
      </c>
      <c r="O141" s="15">
        <v>23</v>
      </c>
      <c r="P141" s="15">
        <f t="shared" si="35"/>
        <v>5</v>
      </c>
      <c r="Q141" s="15">
        <f t="shared" si="37"/>
        <v>11</v>
      </c>
      <c r="R141" s="15"/>
      <c r="S141" s="15"/>
    </row>
    <row r="142" spans="1:19" x14ac:dyDescent="0.15">
      <c r="A142" s="23">
        <v>20</v>
      </c>
      <c r="B142" s="17">
        <f>B141+1</f>
        <v>2</v>
      </c>
      <c r="C142" s="23">
        <f>C141+2</f>
        <v>8</v>
      </c>
      <c r="D142" s="23">
        <f>D141+3</f>
        <v>14</v>
      </c>
      <c r="E142">
        <v>387.36</v>
      </c>
      <c r="F142" s="38">
        <v>7.64</v>
      </c>
      <c r="G142">
        <f t="shared" si="43"/>
        <v>50.701570680628279</v>
      </c>
      <c r="H142" s="15">
        <v>7</v>
      </c>
      <c r="I142" s="15">
        <v>8</v>
      </c>
      <c r="J142" s="15">
        <f t="shared" si="42"/>
        <v>21</v>
      </c>
      <c r="K142" s="15">
        <f t="shared" si="42"/>
        <v>22</v>
      </c>
      <c r="L142" s="15">
        <v>-9.35</v>
      </c>
      <c r="M142" s="15">
        <v>6.56</v>
      </c>
      <c r="N142" s="15">
        <f t="shared" si="44"/>
        <v>1.4253048780487805</v>
      </c>
      <c r="O142" s="15">
        <v>24</v>
      </c>
      <c r="P142" s="15">
        <v>1</v>
      </c>
      <c r="Q142" s="15">
        <v>2</v>
      </c>
      <c r="R142" s="15"/>
      <c r="S142" s="15"/>
    </row>
    <row r="143" spans="1:19" x14ac:dyDescent="0.15">
      <c r="A143" s="23">
        <v>20</v>
      </c>
      <c r="B143" s="17">
        <f>B142+1</f>
        <v>3</v>
      </c>
      <c r="C143" s="23">
        <f>C142+2</f>
        <v>10</v>
      </c>
      <c r="D143" s="23">
        <f>D142+3</f>
        <v>17</v>
      </c>
      <c r="E143">
        <v>224.99</v>
      </c>
      <c r="F143" s="38">
        <v>7.93</v>
      </c>
      <c r="G143">
        <f t="shared" si="43"/>
        <v>28.372005044136195</v>
      </c>
      <c r="H143" s="15">
        <v>7</v>
      </c>
      <c r="I143" s="15">
        <v>8</v>
      </c>
      <c r="J143" s="15">
        <f t="shared" si="42"/>
        <v>22</v>
      </c>
      <c r="K143" s="15">
        <f t="shared" si="42"/>
        <v>23</v>
      </c>
      <c r="L143" s="15">
        <v>-14.54</v>
      </c>
      <c r="M143" s="15">
        <v>6.23</v>
      </c>
      <c r="N143" s="15">
        <f t="shared" si="44"/>
        <v>2.3338683788121988</v>
      </c>
      <c r="O143" s="15">
        <v>24</v>
      </c>
      <c r="P143" s="15">
        <f t="shared" si="35"/>
        <v>2</v>
      </c>
      <c r="Q143" s="15">
        <f t="shared" si="37"/>
        <v>4</v>
      </c>
      <c r="R143" s="15"/>
      <c r="S143" s="15"/>
    </row>
    <row r="144" spans="1:19" x14ac:dyDescent="0.15">
      <c r="A144" s="23">
        <v>21</v>
      </c>
      <c r="B144" s="17">
        <f>A144+1</f>
        <v>22</v>
      </c>
      <c r="C144" s="23">
        <f>B144+1</f>
        <v>23</v>
      </c>
      <c r="D144" s="23">
        <f>C144+1</f>
        <v>24</v>
      </c>
      <c r="E144">
        <v>1928.23</v>
      </c>
      <c r="F144" s="38">
        <v>9.34</v>
      </c>
      <c r="G144">
        <f t="shared" si="43"/>
        <v>206.44860813704497</v>
      </c>
      <c r="H144" s="15">
        <v>7</v>
      </c>
      <c r="I144" s="15">
        <v>8</v>
      </c>
      <c r="J144" s="15">
        <f t="shared" si="42"/>
        <v>23</v>
      </c>
      <c r="K144" s="15">
        <f t="shared" si="42"/>
        <v>24</v>
      </c>
      <c r="L144" s="15">
        <v>-9.94</v>
      </c>
      <c r="M144" s="15">
        <v>6.1</v>
      </c>
      <c r="N144" s="15">
        <f t="shared" si="44"/>
        <v>1.6295081967213114</v>
      </c>
      <c r="O144" s="15">
        <v>24</v>
      </c>
      <c r="P144" s="15">
        <f t="shared" si="35"/>
        <v>3</v>
      </c>
      <c r="Q144" s="15">
        <f t="shared" si="37"/>
        <v>6</v>
      </c>
      <c r="R144" s="15"/>
      <c r="S144" s="15"/>
    </row>
    <row r="145" spans="1:19" x14ac:dyDescent="0.15">
      <c r="A145" s="23">
        <v>21</v>
      </c>
      <c r="B145" s="17">
        <f>B144+1</f>
        <v>23</v>
      </c>
      <c r="C145" s="23">
        <v>1</v>
      </c>
      <c r="D145" s="23">
        <v>3</v>
      </c>
      <c r="E145" s="38">
        <v>690.03</v>
      </c>
      <c r="F145" s="38">
        <v>6</v>
      </c>
      <c r="G145">
        <f t="shared" si="43"/>
        <v>115.005</v>
      </c>
      <c r="H145" s="15">
        <v>7</v>
      </c>
      <c r="I145" s="15">
        <v>8</v>
      </c>
      <c r="J145" s="15">
        <f>J144+1</f>
        <v>24</v>
      </c>
      <c r="K145" s="15">
        <v>1</v>
      </c>
      <c r="L145" s="15">
        <v>-13.53</v>
      </c>
      <c r="M145" s="15">
        <v>6.26</v>
      </c>
      <c r="N145" s="15">
        <f t="shared" si="44"/>
        <v>2.1613418530351436</v>
      </c>
      <c r="O145" s="15">
        <v>24</v>
      </c>
      <c r="P145" s="15">
        <f t="shared" si="35"/>
        <v>4</v>
      </c>
      <c r="Q145" s="15">
        <f t="shared" si="37"/>
        <v>8</v>
      </c>
      <c r="R145" s="15"/>
      <c r="S145" s="15"/>
    </row>
    <row r="146" spans="1:19" x14ac:dyDescent="0.15">
      <c r="A146" s="23">
        <v>21</v>
      </c>
      <c r="B146" s="17">
        <f>B145+1</f>
        <v>24</v>
      </c>
      <c r="C146" s="23">
        <f>C145+2</f>
        <v>3</v>
      </c>
      <c r="D146" s="23">
        <f>D145+3</f>
        <v>6</v>
      </c>
      <c r="E146">
        <v>641.95000000000005</v>
      </c>
      <c r="F146" s="38">
        <v>6.67</v>
      </c>
      <c r="G146">
        <f t="shared" si="43"/>
        <v>96.244377811094466</v>
      </c>
      <c r="H146" s="15">
        <v>7</v>
      </c>
      <c r="I146" s="15">
        <v>8</v>
      </c>
      <c r="J146" s="15">
        <v>1</v>
      </c>
      <c r="K146" s="15">
        <f>K145+1</f>
        <v>2</v>
      </c>
      <c r="L146" s="15">
        <v>-20.18</v>
      </c>
      <c r="M146" s="15">
        <v>6.57</v>
      </c>
      <c r="N146" s="15">
        <f t="shared" si="44"/>
        <v>3.0715372907153728</v>
      </c>
      <c r="O146" s="15">
        <v>24</v>
      </c>
      <c r="P146" s="15">
        <f t="shared" si="35"/>
        <v>5</v>
      </c>
      <c r="Q146" s="15">
        <f t="shared" si="37"/>
        <v>10</v>
      </c>
      <c r="R146" s="15"/>
      <c r="S146" s="15"/>
    </row>
    <row r="147" spans="1:19" x14ac:dyDescent="0.15">
      <c r="A147" s="23">
        <v>21</v>
      </c>
      <c r="B147" s="17">
        <v>1</v>
      </c>
      <c r="C147" s="23">
        <f>C146+2</f>
        <v>5</v>
      </c>
      <c r="D147" s="23">
        <f>D146+3</f>
        <v>9</v>
      </c>
      <c r="E147">
        <v>625.04</v>
      </c>
      <c r="F147" s="38">
        <v>7.77</v>
      </c>
      <c r="G147">
        <f t="shared" si="43"/>
        <v>80.442728442728438</v>
      </c>
      <c r="H147" s="15">
        <v>7</v>
      </c>
      <c r="I147" s="15">
        <v>8</v>
      </c>
      <c r="J147" s="15">
        <f>J146+1</f>
        <v>2</v>
      </c>
      <c r="K147" s="15">
        <f>K146+1</f>
        <v>3</v>
      </c>
      <c r="L147" s="15">
        <v>-31.09</v>
      </c>
      <c r="M147" s="15">
        <v>6.65</v>
      </c>
      <c r="N147" s="15">
        <f t="shared" si="44"/>
        <v>4.6751879699248118</v>
      </c>
      <c r="O147" s="15">
        <v>24</v>
      </c>
      <c r="P147" s="15">
        <f t="shared" si="35"/>
        <v>6</v>
      </c>
      <c r="Q147" s="15">
        <f t="shared" si="37"/>
        <v>12</v>
      </c>
      <c r="R147" s="15"/>
      <c r="S147" s="15"/>
    </row>
    <row r="148" spans="1:19" x14ac:dyDescent="0.15">
      <c r="A148" s="23">
        <v>21</v>
      </c>
      <c r="B148" s="17">
        <f>B147+1</f>
        <v>2</v>
      </c>
      <c r="C148" s="23">
        <f>C147+2</f>
        <v>7</v>
      </c>
      <c r="D148" s="23">
        <f>D147+3</f>
        <v>12</v>
      </c>
      <c r="E148">
        <v>632.4</v>
      </c>
      <c r="F148" s="38">
        <v>9.6300000000000008</v>
      </c>
      <c r="G148">
        <f t="shared" si="43"/>
        <v>65.669781931464172</v>
      </c>
      <c r="H148" s="15">
        <v>7</v>
      </c>
      <c r="I148" s="15">
        <v>8</v>
      </c>
      <c r="J148" s="15">
        <f>J147+1</f>
        <v>3</v>
      </c>
      <c r="K148" s="15">
        <f>K147+1</f>
        <v>4</v>
      </c>
      <c r="L148" s="15">
        <v>-48.71</v>
      </c>
      <c r="M148" s="15">
        <v>6.73</v>
      </c>
      <c r="N148" s="15">
        <f t="shared" si="44"/>
        <v>7.2377414561664191</v>
      </c>
      <c r="O148" s="15"/>
      <c r="P148" s="15"/>
      <c r="Q148" s="15"/>
      <c r="R148" s="15"/>
      <c r="S148" s="15"/>
    </row>
    <row r="149" spans="1:19" x14ac:dyDescent="0.15">
      <c r="A149" s="23">
        <v>21</v>
      </c>
      <c r="B149" s="17">
        <f>B148+1</f>
        <v>3</v>
      </c>
      <c r="C149" s="23">
        <f>C148+2</f>
        <v>9</v>
      </c>
      <c r="D149" s="23">
        <f>D148+3</f>
        <v>15</v>
      </c>
      <c r="E149">
        <v>447.91</v>
      </c>
      <c r="F149" s="38">
        <v>8.9700000000000006</v>
      </c>
      <c r="G149">
        <f t="shared" si="43"/>
        <v>49.934225195094761</v>
      </c>
      <c r="H149" s="15">
        <v>7</v>
      </c>
      <c r="I149" s="15">
        <v>8</v>
      </c>
      <c r="J149" s="15">
        <f>J148+1</f>
        <v>4</v>
      </c>
      <c r="K149" s="15">
        <f>K148+1</f>
        <v>5</v>
      </c>
      <c r="L149" s="15">
        <v>-123.16</v>
      </c>
      <c r="M149" s="15">
        <v>6.8</v>
      </c>
      <c r="N149" s="15">
        <f t="shared" si="44"/>
        <v>18.111764705882354</v>
      </c>
      <c r="O149" s="15"/>
      <c r="P149" s="15"/>
      <c r="Q149" s="15"/>
      <c r="R149" s="15"/>
      <c r="S149" s="15"/>
    </row>
    <row r="150" spans="1:19" x14ac:dyDescent="0.15">
      <c r="A150" s="23">
        <v>21</v>
      </c>
      <c r="B150" s="17">
        <f>B149+1</f>
        <v>4</v>
      </c>
      <c r="C150" s="23">
        <f>C149+2</f>
        <v>11</v>
      </c>
      <c r="D150" s="23">
        <f>D149+3</f>
        <v>18</v>
      </c>
      <c r="E150">
        <v>256.64999999999998</v>
      </c>
      <c r="F150" s="38">
        <v>9.5399999999999991</v>
      </c>
      <c r="G150">
        <f t="shared" si="43"/>
        <v>26.90251572327044</v>
      </c>
      <c r="H150" s="15">
        <v>7</v>
      </c>
      <c r="I150" s="15">
        <v>8</v>
      </c>
      <c r="J150" s="15">
        <f>J149+1</f>
        <v>5</v>
      </c>
      <c r="K150" s="15">
        <f>K149+1</f>
        <v>6</v>
      </c>
      <c r="L150" s="15">
        <v>-439.45</v>
      </c>
      <c r="M150" s="15">
        <v>6.81</v>
      </c>
      <c r="N150" s="15">
        <f t="shared" si="44"/>
        <v>64.530102790014681</v>
      </c>
      <c r="O150" s="15"/>
      <c r="P150" s="15"/>
      <c r="Q150" s="15"/>
      <c r="R150" s="15"/>
      <c r="S150" s="15"/>
    </row>
    <row r="151" spans="1:19" x14ac:dyDescent="0.15">
      <c r="A151" s="23">
        <v>22</v>
      </c>
      <c r="B151" s="17">
        <f>A151+1</f>
        <v>23</v>
      </c>
      <c r="C151" s="23">
        <f>B151+1</f>
        <v>24</v>
      </c>
      <c r="D151" s="23">
        <v>1</v>
      </c>
      <c r="E151">
        <v>1547.11</v>
      </c>
      <c r="F151" s="38">
        <v>7.21</v>
      </c>
      <c r="G151">
        <f t="shared" si="43"/>
        <v>214.57836338418861</v>
      </c>
      <c r="H151" s="15">
        <v>8</v>
      </c>
      <c r="I151" s="15">
        <v>9</v>
      </c>
      <c r="J151" s="15">
        <f>I151+1</f>
        <v>10</v>
      </c>
      <c r="K151" s="15">
        <f>J151+1</f>
        <v>11</v>
      </c>
      <c r="L151" s="15">
        <v>-491.29</v>
      </c>
      <c r="M151" s="15">
        <v>8.5</v>
      </c>
      <c r="N151" s="15">
        <f t="shared" si="44"/>
        <v>57.79882352941177</v>
      </c>
      <c r="O151" s="15"/>
      <c r="P151" s="15"/>
      <c r="Q151" s="15"/>
      <c r="R151" s="15"/>
      <c r="S151" s="15"/>
    </row>
    <row r="152" spans="1:19" x14ac:dyDescent="0.15">
      <c r="A152" s="23">
        <v>22</v>
      </c>
      <c r="B152" s="17">
        <f>B151+1</f>
        <v>24</v>
      </c>
      <c r="C152" s="23">
        <v>2</v>
      </c>
      <c r="D152" s="23">
        <f t="shared" ref="D152:D157" si="45">D151+3</f>
        <v>4</v>
      </c>
      <c r="E152">
        <v>865.49</v>
      </c>
      <c r="F152" s="38">
        <v>6.62</v>
      </c>
      <c r="G152">
        <f t="shared" si="43"/>
        <v>130.73867069486406</v>
      </c>
      <c r="H152" s="15">
        <v>8</v>
      </c>
      <c r="I152" s="15">
        <v>9</v>
      </c>
      <c r="J152" s="15">
        <f t="shared" ref="J152:K164" si="46">J151+1</f>
        <v>11</v>
      </c>
      <c r="K152" s="15">
        <f t="shared" si="46"/>
        <v>12</v>
      </c>
      <c r="L152" s="15">
        <v>-131.32</v>
      </c>
      <c r="M152" s="15">
        <v>8.48</v>
      </c>
      <c r="N152" s="15">
        <f t="shared" si="44"/>
        <v>15.485849056603772</v>
      </c>
      <c r="O152" s="15"/>
      <c r="P152" s="15"/>
      <c r="Q152" s="15"/>
      <c r="R152" s="15"/>
      <c r="S152" s="15"/>
    </row>
    <row r="153" spans="1:19" x14ac:dyDescent="0.15">
      <c r="A153" s="23">
        <v>22</v>
      </c>
      <c r="B153" s="17">
        <v>1</v>
      </c>
      <c r="C153" s="23">
        <f>C152+2</f>
        <v>4</v>
      </c>
      <c r="D153" s="23">
        <f t="shared" si="45"/>
        <v>7</v>
      </c>
      <c r="E153">
        <v>544.84</v>
      </c>
      <c r="F153" s="38">
        <v>5.71</v>
      </c>
      <c r="G153">
        <f t="shared" si="43"/>
        <v>95.418563922942212</v>
      </c>
      <c r="H153" s="15">
        <v>8</v>
      </c>
      <c r="I153" s="15">
        <v>9</v>
      </c>
      <c r="J153" s="15">
        <f t="shared" si="46"/>
        <v>12</v>
      </c>
      <c r="K153" s="15">
        <f t="shared" si="46"/>
        <v>13</v>
      </c>
      <c r="L153" s="15">
        <v>-56.4</v>
      </c>
      <c r="M153" s="15">
        <v>8.27</v>
      </c>
      <c r="N153" s="15">
        <f t="shared" si="44"/>
        <v>6.8198307134220073</v>
      </c>
      <c r="O153" s="15"/>
      <c r="P153" s="15"/>
      <c r="Q153" s="15"/>
      <c r="R153" s="15"/>
      <c r="S153" s="15"/>
    </row>
    <row r="154" spans="1:19" x14ac:dyDescent="0.15">
      <c r="A154" s="23">
        <v>22</v>
      </c>
      <c r="B154" s="17">
        <f>B153+1</f>
        <v>2</v>
      </c>
      <c r="C154" s="23">
        <f>C153+2</f>
        <v>6</v>
      </c>
      <c r="D154" s="23">
        <f t="shared" si="45"/>
        <v>10</v>
      </c>
      <c r="E154">
        <v>587.35</v>
      </c>
      <c r="F154" s="38">
        <v>8.02</v>
      </c>
      <c r="G154">
        <f t="shared" si="43"/>
        <v>73.235660847880311</v>
      </c>
      <c r="H154" s="15">
        <v>8</v>
      </c>
      <c r="I154" s="15">
        <v>9</v>
      </c>
      <c r="J154" s="15">
        <f t="shared" si="46"/>
        <v>13</v>
      </c>
      <c r="K154" s="15">
        <f t="shared" si="46"/>
        <v>14</v>
      </c>
      <c r="L154" s="15">
        <v>-32.65</v>
      </c>
      <c r="M154" s="15">
        <v>8.5500000000000007</v>
      </c>
      <c r="N154" s="15">
        <f t="shared" si="44"/>
        <v>3.8187134502923974</v>
      </c>
      <c r="O154" s="15"/>
      <c r="P154" s="15"/>
      <c r="Q154" s="15"/>
      <c r="R154" s="15"/>
      <c r="S154" s="15"/>
    </row>
    <row r="155" spans="1:19" x14ac:dyDescent="0.15">
      <c r="A155" s="23">
        <v>22</v>
      </c>
      <c r="B155" s="17">
        <f>B154+1</f>
        <v>3</v>
      </c>
      <c r="C155" s="23">
        <f>C154+2</f>
        <v>8</v>
      </c>
      <c r="D155" s="23">
        <f t="shared" si="45"/>
        <v>13</v>
      </c>
      <c r="E155">
        <v>440.6</v>
      </c>
      <c r="F155" s="38">
        <v>6.67</v>
      </c>
      <c r="G155">
        <f t="shared" si="43"/>
        <v>66.056971514242889</v>
      </c>
      <c r="H155" s="15">
        <v>8</v>
      </c>
      <c r="I155" s="15">
        <v>9</v>
      </c>
      <c r="J155" s="15">
        <f t="shared" si="46"/>
        <v>14</v>
      </c>
      <c r="K155" s="15">
        <f t="shared" si="46"/>
        <v>15</v>
      </c>
      <c r="L155" s="15">
        <v>-21.97</v>
      </c>
      <c r="M155" s="15">
        <v>8.57</v>
      </c>
      <c r="N155" s="15">
        <f t="shared" si="44"/>
        <v>2.5635939323220533</v>
      </c>
      <c r="O155" s="15"/>
      <c r="P155" s="15"/>
      <c r="Q155" s="15"/>
      <c r="R155" s="15"/>
      <c r="S155" s="15"/>
    </row>
    <row r="156" spans="1:19" x14ac:dyDescent="0.15">
      <c r="A156" s="23">
        <v>22</v>
      </c>
      <c r="B156" s="17">
        <f>B155+1</f>
        <v>4</v>
      </c>
      <c r="C156" s="23">
        <f>C155+2</f>
        <v>10</v>
      </c>
      <c r="D156" s="23">
        <f t="shared" si="45"/>
        <v>16</v>
      </c>
      <c r="E156">
        <v>339.95</v>
      </c>
      <c r="F156" s="38">
        <v>6.82</v>
      </c>
      <c r="G156">
        <f t="shared" si="43"/>
        <v>49.846041055718473</v>
      </c>
      <c r="H156" s="15">
        <v>8</v>
      </c>
      <c r="I156" s="15">
        <v>9</v>
      </c>
      <c r="J156" s="15">
        <f t="shared" si="46"/>
        <v>15</v>
      </c>
      <c r="K156" s="15">
        <f t="shared" si="46"/>
        <v>16</v>
      </c>
      <c r="L156" s="15">
        <v>-17.239999999999998</v>
      </c>
      <c r="M156" s="15">
        <v>8.39</v>
      </c>
      <c r="N156" s="15">
        <f t="shared" si="44"/>
        <v>2.0548271752085814</v>
      </c>
      <c r="O156" s="15"/>
      <c r="P156" s="15"/>
      <c r="Q156" s="15"/>
      <c r="R156" s="15"/>
      <c r="S156" s="15"/>
    </row>
    <row r="157" spans="1:19" x14ac:dyDescent="0.15">
      <c r="A157" s="23">
        <v>22</v>
      </c>
      <c r="B157" s="17">
        <f>B156+1</f>
        <v>5</v>
      </c>
      <c r="C157" s="23">
        <f>C156+2</f>
        <v>12</v>
      </c>
      <c r="D157" s="23">
        <f t="shared" si="45"/>
        <v>19</v>
      </c>
      <c r="E157">
        <v>137.01</v>
      </c>
      <c r="F157" s="38">
        <v>4.7</v>
      </c>
      <c r="G157">
        <f t="shared" si="43"/>
        <v>29.15106382978723</v>
      </c>
      <c r="H157" s="15">
        <v>8</v>
      </c>
      <c r="I157" s="15">
        <v>9</v>
      </c>
      <c r="J157" s="15">
        <f t="shared" si="46"/>
        <v>16</v>
      </c>
      <c r="K157" s="15">
        <f t="shared" si="46"/>
        <v>17</v>
      </c>
      <c r="L157" s="15">
        <v>-12.41</v>
      </c>
      <c r="M157" s="15">
        <v>8.36</v>
      </c>
      <c r="N157" s="15">
        <f t="shared" si="44"/>
        <v>1.4844497607655505</v>
      </c>
      <c r="O157" s="15"/>
      <c r="P157" s="15"/>
      <c r="Q157" s="15"/>
      <c r="R157" s="15"/>
      <c r="S157" s="15"/>
    </row>
    <row r="158" spans="1:19" x14ac:dyDescent="0.15">
      <c r="A158" s="23">
        <v>23</v>
      </c>
      <c r="B158" s="17">
        <f>A158+1</f>
        <v>24</v>
      </c>
      <c r="C158" s="23">
        <v>1</v>
      </c>
      <c r="D158" s="23">
        <v>2</v>
      </c>
      <c r="E158" s="38">
        <v>1240.24</v>
      </c>
      <c r="F158" s="38">
        <v>5.8</v>
      </c>
      <c r="G158">
        <f t="shared" si="43"/>
        <v>213.83448275862071</v>
      </c>
      <c r="H158" s="15">
        <v>8</v>
      </c>
      <c r="I158" s="15">
        <v>9</v>
      </c>
      <c r="J158" s="15">
        <f t="shared" si="46"/>
        <v>17</v>
      </c>
      <c r="K158" s="15">
        <f t="shared" si="46"/>
        <v>18</v>
      </c>
      <c r="L158" s="15">
        <v>-11.57</v>
      </c>
      <c r="M158" s="15">
        <v>8.34</v>
      </c>
      <c r="N158" s="15">
        <f t="shared" si="44"/>
        <v>1.3872901678657075</v>
      </c>
      <c r="O158" s="15"/>
      <c r="P158" s="15"/>
      <c r="Q158" s="15"/>
      <c r="R158" s="15"/>
      <c r="S158" s="15"/>
    </row>
    <row r="159" spans="1:19" x14ac:dyDescent="0.15">
      <c r="A159" s="23">
        <v>23</v>
      </c>
      <c r="B159" s="17">
        <v>1</v>
      </c>
      <c r="C159" s="23">
        <f t="shared" ref="C159:C164" si="47">C158+2</f>
        <v>3</v>
      </c>
      <c r="D159" s="23">
        <f t="shared" ref="D159:D164" si="48">D158+3</f>
        <v>5</v>
      </c>
      <c r="E159">
        <v>586.73</v>
      </c>
      <c r="F159" s="38">
        <v>4.88</v>
      </c>
      <c r="G159">
        <f t="shared" si="43"/>
        <v>120.23155737704919</v>
      </c>
      <c r="H159" s="15">
        <v>8</v>
      </c>
      <c r="I159" s="15">
        <v>9</v>
      </c>
      <c r="J159" s="15">
        <f t="shared" si="46"/>
        <v>18</v>
      </c>
      <c r="K159" s="15">
        <f t="shared" si="46"/>
        <v>19</v>
      </c>
      <c r="L159" s="15">
        <v>-12.43</v>
      </c>
      <c r="M159" s="15">
        <v>8.3800000000000008</v>
      </c>
      <c r="N159" s="15">
        <f t="shared" si="44"/>
        <v>1.4832935560859186</v>
      </c>
      <c r="O159" s="15"/>
      <c r="P159" s="15"/>
      <c r="Q159" s="15"/>
      <c r="R159" s="15"/>
      <c r="S159" s="15"/>
    </row>
    <row r="160" spans="1:19" x14ac:dyDescent="0.15">
      <c r="A160" s="23">
        <v>23</v>
      </c>
      <c r="B160" s="17">
        <f>B159+1</f>
        <v>2</v>
      </c>
      <c r="C160" s="23">
        <f t="shared" si="47"/>
        <v>5</v>
      </c>
      <c r="D160" s="23">
        <f t="shared" si="48"/>
        <v>8</v>
      </c>
      <c r="E160">
        <v>461.38</v>
      </c>
      <c r="F160" s="38">
        <v>5.38</v>
      </c>
      <c r="G160">
        <f t="shared" si="43"/>
        <v>85.758364312267659</v>
      </c>
      <c r="H160" s="15">
        <v>8</v>
      </c>
      <c r="I160" s="15">
        <v>9</v>
      </c>
      <c r="J160" s="15">
        <f t="shared" si="46"/>
        <v>19</v>
      </c>
      <c r="K160" s="15">
        <f t="shared" si="46"/>
        <v>20</v>
      </c>
      <c r="L160" s="15">
        <v>-9.14</v>
      </c>
      <c r="M160" s="15">
        <v>8.41</v>
      </c>
      <c r="N160" s="15">
        <f t="shared" si="44"/>
        <v>1.0868014268727706</v>
      </c>
      <c r="O160" s="15"/>
      <c r="P160" s="15"/>
      <c r="Q160" s="15"/>
      <c r="R160" s="15"/>
      <c r="S160" s="15"/>
    </row>
    <row r="161" spans="1:19" x14ac:dyDescent="0.15">
      <c r="A161" s="23">
        <v>23</v>
      </c>
      <c r="B161" s="17">
        <f>B160+1</f>
        <v>3</v>
      </c>
      <c r="C161" s="23">
        <f t="shared" si="47"/>
        <v>7</v>
      </c>
      <c r="D161" s="23">
        <f t="shared" si="48"/>
        <v>11</v>
      </c>
      <c r="E161">
        <v>288.41000000000003</v>
      </c>
      <c r="F161" s="38">
        <v>3.79</v>
      </c>
      <c r="G161">
        <f t="shared" si="43"/>
        <v>76.097625329815315</v>
      </c>
      <c r="H161" s="15">
        <v>8</v>
      </c>
      <c r="I161" s="15">
        <v>9</v>
      </c>
      <c r="J161" s="15">
        <f t="shared" si="46"/>
        <v>20</v>
      </c>
      <c r="K161" s="15">
        <f t="shared" si="46"/>
        <v>21</v>
      </c>
      <c r="L161" s="15">
        <v>-9.4700000000000006</v>
      </c>
      <c r="M161" s="15">
        <v>8.52</v>
      </c>
      <c r="N161" s="15">
        <f t="shared" si="44"/>
        <v>1.1115023474178405</v>
      </c>
      <c r="O161" s="15"/>
      <c r="P161" s="15"/>
      <c r="Q161" s="15"/>
      <c r="R161" s="15"/>
      <c r="S161" s="15"/>
    </row>
    <row r="162" spans="1:19" x14ac:dyDescent="0.15">
      <c r="A162" s="23">
        <v>23</v>
      </c>
      <c r="B162" s="17">
        <f>B161+1</f>
        <v>4</v>
      </c>
      <c r="C162" s="23">
        <f t="shared" si="47"/>
        <v>9</v>
      </c>
      <c r="D162" s="23">
        <f t="shared" si="48"/>
        <v>14</v>
      </c>
      <c r="E162">
        <v>343.85</v>
      </c>
      <c r="F162" s="38">
        <v>5.13</v>
      </c>
      <c r="G162">
        <f t="shared" si="43"/>
        <v>67.027290448343081</v>
      </c>
      <c r="H162" s="15">
        <v>8</v>
      </c>
      <c r="I162" s="15">
        <v>9</v>
      </c>
      <c r="J162" s="15">
        <f t="shared" si="46"/>
        <v>21</v>
      </c>
      <c r="K162" s="15">
        <f t="shared" si="46"/>
        <v>22</v>
      </c>
      <c r="L162" s="15">
        <v>-10.23</v>
      </c>
      <c r="M162" s="15">
        <v>8.51</v>
      </c>
      <c r="N162" s="15">
        <f t="shared" si="44"/>
        <v>1.2021151586368979</v>
      </c>
      <c r="O162" s="15"/>
      <c r="P162" s="15"/>
      <c r="Q162" s="15"/>
      <c r="R162" s="15"/>
      <c r="S162" s="15"/>
    </row>
    <row r="163" spans="1:19" x14ac:dyDescent="0.15">
      <c r="A163" s="23">
        <v>23</v>
      </c>
      <c r="B163" s="17">
        <f>B162+1</f>
        <v>5</v>
      </c>
      <c r="C163" s="23">
        <f t="shared" si="47"/>
        <v>11</v>
      </c>
      <c r="D163" s="23">
        <f t="shared" si="48"/>
        <v>17</v>
      </c>
      <c r="E163">
        <v>222.49</v>
      </c>
      <c r="F163" s="38">
        <v>4.54</v>
      </c>
      <c r="G163">
        <f t="shared" si="43"/>
        <v>49.006607929515418</v>
      </c>
      <c r="H163" s="15">
        <v>8</v>
      </c>
      <c r="I163" s="15">
        <v>9</v>
      </c>
      <c r="J163" s="15">
        <f t="shared" si="46"/>
        <v>22</v>
      </c>
      <c r="K163" s="15">
        <f t="shared" si="46"/>
        <v>23</v>
      </c>
      <c r="L163" s="15">
        <v>-9.66</v>
      </c>
      <c r="M163" s="15">
        <v>8.3800000000000008</v>
      </c>
      <c r="N163" s="15">
        <f t="shared" si="44"/>
        <v>1.1527446300715989</v>
      </c>
      <c r="O163" s="15"/>
      <c r="P163" s="15"/>
      <c r="Q163" s="15"/>
      <c r="R163" s="15"/>
      <c r="S163" s="15"/>
    </row>
    <row r="164" spans="1:19" x14ac:dyDescent="0.15">
      <c r="A164" s="23">
        <v>23</v>
      </c>
      <c r="B164" s="17">
        <f>B163+1</f>
        <v>6</v>
      </c>
      <c r="C164" s="23">
        <f t="shared" si="47"/>
        <v>13</v>
      </c>
      <c r="D164" s="23">
        <f t="shared" si="48"/>
        <v>20</v>
      </c>
      <c r="E164">
        <v>115.01</v>
      </c>
      <c r="F164" s="38">
        <v>4.34</v>
      </c>
      <c r="G164">
        <f t="shared" si="43"/>
        <v>26.500000000000004</v>
      </c>
      <c r="H164" s="15">
        <v>8</v>
      </c>
      <c r="I164" s="15">
        <v>9</v>
      </c>
      <c r="J164" s="15">
        <f t="shared" si="46"/>
        <v>23</v>
      </c>
      <c r="K164" s="15">
        <f t="shared" si="46"/>
        <v>24</v>
      </c>
      <c r="L164" s="15">
        <v>-10.220000000000001</v>
      </c>
      <c r="M164" s="15">
        <v>8.42</v>
      </c>
      <c r="N164" s="15">
        <f t="shared" si="44"/>
        <v>1.2137767220902613</v>
      </c>
      <c r="O164" s="15"/>
      <c r="P164" s="15"/>
      <c r="Q164" s="15"/>
      <c r="R164" s="15"/>
      <c r="S164" s="15"/>
    </row>
    <row r="165" spans="1:19" x14ac:dyDescent="0.15">
      <c r="A165" s="23">
        <v>24</v>
      </c>
      <c r="B165" s="17">
        <v>1</v>
      </c>
      <c r="C165" s="23">
        <v>2</v>
      </c>
      <c r="D165" s="23">
        <f>C165+1</f>
        <v>3</v>
      </c>
      <c r="E165" s="38">
        <v>1220.24</v>
      </c>
      <c r="F165" s="38">
        <v>5.71</v>
      </c>
      <c r="G165">
        <f t="shared" si="43"/>
        <v>213.70227670753064</v>
      </c>
      <c r="H165" s="15">
        <v>8</v>
      </c>
      <c r="I165" s="15">
        <v>9</v>
      </c>
      <c r="J165" s="15">
        <f>J164+1</f>
        <v>24</v>
      </c>
      <c r="K165" s="15">
        <v>1</v>
      </c>
      <c r="L165" s="15">
        <v>-13.86</v>
      </c>
      <c r="M165" s="15">
        <v>8.3800000000000008</v>
      </c>
      <c r="N165" s="15">
        <f t="shared" si="44"/>
        <v>1.6539379474940332</v>
      </c>
      <c r="O165" s="15"/>
      <c r="P165" s="15"/>
      <c r="Q165" s="15"/>
      <c r="R165" s="15"/>
      <c r="S165" s="15"/>
    </row>
    <row r="166" spans="1:19" x14ac:dyDescent="0.15">
      <c r="A166" s="23">
        <v>24</v>
      </c>
      <c r="B166" s="17">
        <f t="shared" ref="B166:B171" si="49">B165+1</f>
        <v>2</v>
      </c>
      <c r="C166" s="23">
        <f t="shared" ref="C166:C171" si="50">C165+2</f>
        <v>4</v>
      </c>
      <c r="D166" s="23">
        <f t="shared" ref="D166:D171" si="51">D165+3</f>
        <v>6</v>
      </c>
      <c r="E166">
        <v>831.02</v>
      </c>
      <c r="F166" s="38">
        <v>7.05</v>
      </c>
      <c r="G166">
        <f t="shared" si="43"/>
        <v>117.87517730496454</v>
      </c>
      <c r="H166" s="15">
        <v>8</v>
      </c>
      <c r="I166" s="15">
        <v>9</v>
      </c>
      <c r="J166" s="15">
        <v>1</v>
      </c>
      <c r="K166" s="15">
        <f t="shared" ref="K166:K171" si="52">K165+1</f>
        <v>2</v>
      </c>
      <c r="L166" s="15">
        <v>-16.010000000000002</v>
      </c>
      <c r="M166" s="15">
        <v>8.24</v>
      </c>
      <c r="N166" s="15">
        <f t="shared" si="44"/>
        <v>1.9429611650485439</v>
      </c>
      <c r="O166" s="15"/>
      <c r="P166" s="15"/>
      <c r="Q166" s="15"/>
      <c r="R166" s="15"/>
      <c r="S166" s="15"/>
    </row>
    <row r="167" spans="1:19" x14ac:dyDescent="0.15">
      <c r="A167" s="23">
        <v>24</v>
      </c>
      <c r="B167" s="17">
        <f t="shared" si="49"/>
        <v>3</v>
      </c>
      <c r="C167" s="23">
        <f t="shared" si="50"/>
        <v>6</v>
      </c>
      <c r="D167" s="23">
        <f t="shared" si="51"/>
        <v>9</v>
      </c>
      <c r="E167">
        <v>730.42</v>
      </c>
      <c r="F167" s="38">
        <v>8.08</v>
      </c>
      <c r="G167">
        <f t="shared" si="43"/>
        <v>90.398514851485146</v>
      </c>
      <c r="H167" s="15">
        <v>8</v>
      </c>
      <c r="I167" s="15">
        <v>9</v>
      </c>
      <c r="J167" s="15">
        <f>J166+1</f>
        <v>2</v>
      </c>
      <c r="K167" s="15">
        <f t="shared" si="52"/>
        <v>3</v>
      </c>
      <c r="L167" s="15">
        <v>-20.93</v>
      </c>
      <c r="M167" s="15">
        <v>8.84</v>
      </c>
      <c r="N167" s="15">
        <f t="shared" si="44"/>
        <v>2.3676470588235294</v>
      </c>
      <c r="O167" s="15"/>
      <c r="P167" s="15"/>
      <c r="Q167" s="15"/>
      <c r="R167" s="15"/>
      <c r="S167" s="15"/>
    </row>
    <row r="168" spans="1:19" x14ac:dyDescent="0.15">
      <c r="A168" s="23">
        <v>24</v>
      </c>
      <c r="B168" s="17">
        <f t="shared" si="49"/>
        <v>4</v>
      </c>
      <c r="C168" s="23">
        <f t="shared" si="50"/>
        <v>8</v>
      </c>
      <c r="D168" s="23">
        <f t="shared" si="51"/>
        <v>12</v>
      </c>
      <c r="E168">
        <v>760.76</v>
      </c>
      <c r="F168" s="38">
        <v>9.9</v>
      </c>
      <c r="G168">
        <f t="shared" si="43"/>
        <v>76.844444444444434</v>
      </c>
      <c r="H168" s="15">
        <v>8</v>
      </c>
      <c r="I168" s="15">
        <v>9</v>
      </c>
      <c r="J168" s="15">
        <f>J167+1</f>
        <v>3</v>
      </c>
      <c r="K168" s="15">
        <f t="shared" si="52"/>
        <v>4</v>
      </c>
      <c r="L168" s="15">
        <v>-33.54</v>
      </c>
      <c r="M168" s="15">
        <v>8.9</v>
      </c>
      <c r="N168" s="15">
        <f t="shared" si="44"/>
        <v>3.7685393258426965</v>
      </c>
      <c r="O168" s="15"/>
      <c r="P168" s="15"/>
      <c r="Q168" s="15"/>
      <c r="R168" s="15"/>
      <c r="S168" s="15"/>
    </row>
    <row r="169" spans="1:19" x14ac:dyDescent="0.15">
      <c r="A169" s="23">
        <v>24</v>
      </c>
      <c r="B169" s="17">
        <f t="shared" si="49"/>
        <v>5</v>
      </c>
      <c r="C169" s="23">
        <f t="shared" si="50"/>
        <v>10</v>
      </c>
      <c r="D169" s="23">
        <f t="shared" si="51"/>
        <v>15</v>
      </c>
      <c r="E169">
        <v>547.75</v>
      </c>
      <c r="F169" s="38">
        <v>9.11</v>
      </c>
      <c r="G169">
        <f t="shared" si="43"/>
        <v>60.126234906695942</v>
      </c>
      <c r="H169" s="15">
        <v>8</v>
      </c>
      <c r="I169" s="15">
        <v>9</v>
      </c>
      <c r="J169" s="15">
        <f>J168+1</f>
        <v>4</v>
      </c>
      <c r="K169" s="15">
        <f t="shared" si="52"/>
        <v>5</v>
      </c>
      <c r="L169" s="15">
        <v>-60.83</v>
      </c>
      <c r="M169" s="15">
        <v>8.65</v>
      </c>
      <c r="N169" s="15">
        <f t="shared" si="44"/>
        <v>7.0323699421965316</v>
      </c>
      <c r="O169" s="15"/>
      <c r="P169" s="15"/>
      <c r="Q169" s="15"/>
      <c r="R169" s="15"/>
      <c r="S169" s="15"/>
    </row>
    <row r="170" spans="1:19" x14ac:dyDescent="0.15">
      <c r="A170" s="23">
        <v>24</v>
      </c>
      <c r="B170" s="17">
        <f t="shared" si="49"/>
        <v>6</v>
      </c>
      <c r="C170" s="23">
        <f t="shared" si="50"/>
        <v>12</v>
      </c>
      <c r="D170" s="23">
        <f t="shared" si="51"/>
        <v>18</v>
      </c>
      <c r="E170">
        <v>448.6</v>
      </c>
      <c r="F170" s="38">
        <v>9.5</v>
      </c>
      <c r="G170">
        <f t="shared" si="43"/>
        <v>47.221052631578949</v>
      </c>
      <c r="H170" s="15">
        <v>8</v>
      </c>
      <c r="I170" s="15">
        <v>9</v>
      </c>
      <c r="J170" s="15">
        <f>J169+1</f>
        <v>5</v>
      </c>
      <c r="K170" s="15">
        <f t="shared" si="52"/>
        <v>6</v>
      </c>
      <c r="L170" s="15">
        <v>-136.77000000000001</v>
      </c>
      <c r="M170" s="15">
        <v>8.6300000000000008</v>
      </c>
      <c r="N170" s="15">
        <f t="shared" si="44"/>
        <v>15.848203939745074</v>
      </c>
      <c r="O170" s="15"/>
      <c r="P170" s="15"/>
      <c r="Q170" s="15"/>
      <c r="R170" s="15"/>
      <c r="S170" s="15"/>
    </row>
    <row r="171" spans="1:19" x14ac:dyDescent="0.15">
      <c r="A171" s="23">
        <v>24</v>
      </c>
      <c r="B171" s="17">
        <f t="shared" si="49"/>
        <v>7</v>
      </c>
      <c r="C171" s="23">
        <f t="shared" si="50"/>
        <v>14</v>
      </c>
      <c r="D171" s="23">
        <f t="shared" si="51"/>
        <v>21</v>
      </c>
      <c r="E171">
        <v>233.31</v>
      </c>
      <c r="F171" s="38">
        <v>9.07</v>
      </c>
      <c r="G171">
        <f t="shared" si="43"/>
        <v>25.723263506063947</v>
      </c>
      <c r="H171" s="15">
        <v>8</v>
      </c>
      <c r="I171" s="15">
        <v>9</v>
      </c>
      <c r="J171" s="15">
        <f>J170+1</f>
        <v>6</v>
      </c>
      <c r="K171" s="15">
        <f t="shared" si="52"/>
        <v>7</v>
      </c>
      <c r="L171" s="15">
        <v>-510.83</v>
      </c>
      <c r="M171" s="15">
        <v>8.42</v>
      </c>
      <c r="N171" s="15">
        <f t="shared" si="44"/>
        <v>60.668646080760091</v>
      </c>
      <c r="O171" s="15"/>
      <c r="P171" s="15"/>
      <c r="Q171" s="15"/>
      <c r="R171" s="15"/>
      <c r="S171" s="15"/>
    </row>
    <row r="172" spans="1:19" x14ac:dyDescent="0.15">
      <c r="A172" s="23"/>
      <c r="B172" s="23"/>
      <c r="C172" s="23"/>
      <c r="D172" s="23"/>
      <c r="H172" s="15">
        <v>9</v>
      </c>
      <c r="I172" s="15">
        <v>10</v>
      </c>
      <c r="J172" s="15">
        <f>I172+1</f>
        <v>11</v>
      </c>
      <c r="K172" s="15">
        <f>J172+1</f>
        <v>12</v>
      </c>
      <c r="L172" s="15">
        <v>-566.66</v>
      </c>
      <c r="M172" s="15">
        <v>9.26</v>
      </c>
      <c r="N172" s="15">
        <f t="shared" si="44"/>
        <v>61.194384449244062</v>
      </c>
      <c r="O172" s="15"/>
      <c r="P172" s="15"/>
      <c r="Q172" s="15"/>
      <c r="R172" s="15"/>
      <c r="S172" s="15"/>
    </row>
    <row r="173" spans="1:19" x14ac:dyDescent="0.15">
      <c r="A173" s="23"/>
      <c r="B173" s="23"/>
      <c r="C173" s="23"/>
      <c r="D173" s="23"/>
      <c r="H173" s="15">
        <v>9</v>
      </c>
      <c r="I173" s="15">
        <v>10</v>
      </c>
      <c r="J173" s="15">
        <f t="shared" ref="J173:K184" si="53">J172+1</f>
        <v>12</v>
      </c>
      <c r="K173" s="15">
        <f t="shared" si="53"/>
        <v>13</v>
      </c>
      <c r="L173" s="15">
        <v>-166.91</v>
      </c>
      <c r="M173" s="15">
        <v>9.58</v>
      </c>
      <c r="N173" s="15">
        <f t="shared" si="44"/>
        <v>17.422755741127347</v>
      </c>
      <c r="O173" s="15"/>
      <c r="P173" s="15"/>
      <c r="Q173" s="15"/>
      <c r="R173" s="15"/>
      <c r="S173" s="15"/>
    </row>
    <row r="174" spans="1:19" x14ac:dyDescent="0.15">
      <c r="A174" s="23"/>
      <c r="B174" s="23"/>
      <c r="C174" s="23"/>
      <c r="D174" s="23"/>
      <c r="H174" s="15">
        <v>9</v>
      </c>
      <c r="I174" s="15">
        <v>10</v>
      </c>
      <c r="J174" s="15">
        <f t="shared" si="53"/>
        <v>13</v>
      </c>
      <c r="K174" s="15">
        <f t="shared" si="53"/>
        <v>14</v>
      </c>
      <c r="L174" s="15">
        <v>-69.709999999999994</v>
      </c>
      <c r="M174" s="15">
        <v>9.5299999999999994</v>
      </c>
      <c r="N174" s="15">
        <f t="shared" si="44"/>
        <v>7.3147953830010488</v>
      </c>
      <c r="O174" s="15"/>
      <c r="P174" s="15"/>
      <c r="Q174" s="15"/>
      <c r="R174" s="15"/>
      <c r="S174" s="15"/>
    </row>
    <row r="175" spans="1:19" x14ac:dyDescent="0.15">
      <c r="A175" s="23"/>
      <c r="B175" s="23"/>
      <c r="C175" s="23"/>
      <c r="D175" s="23"/>
      <c r="H175" s="15">
        <v>9</v>
      </c>
      <c r="I175" s="15">
        <v>10</v>
      </c>
      <c r="J175" s="15">
        <f t="shared" si="53"/>
        <v>14</v>
      </c>
      <c r="K175" s="15">
        <f t="shared" si="53"/>
        <v>15</v>
      </c>
      <c r="L175" s="15">
        <v>-39.049999999999997</v>
      </c>
      <c r="M175" s="15">
        <v>9.74</v>
      </c>
      <c r="N175" s="15">
        <f t="shared" si="44"/>
        <v>4.0092402464065708</v>
      </c>
      <c r="O175" s="15"/>
      <c r="P175" s="15"/>
      <c r="Q175" s="15"/>
      <c r="R175" s="15"/>
      <c r="S175" s="15"/>
    </row>
    <row r="176" spans="1:19" x14ac:dyDescent="0.15">
      <c r="A176" s="23"/>
      <c r="B176" s="23"/>
      <c r="C176" s="23"/>
      <c r="D176" s="23"/>
      <c r="E176" s="23"/>
      <c r="F176" s="23"/>
      <c r="G176" s="23"/>
      <c r="H176" s="15">
        <v>9</v>
      </c>
      <c r="I176" s="15">
        <v>10</v>
      </c>
      <c r="J176" s="15">
        <f t="shared" si="53"/>
        <v>15</v>
      </c>
      <c r="K176" s="15">
        <f t="shared" si="53"/>
        <v>16</v>
      </c>
      <c r="L176" s="15">
        <v>-27.71</v>
      </c>
      <c r="M176" s="15">
        <v>9.49</v>
      </c>
      <c r="N176" s="15">
        <f t="shared" si="44"/>
        <v>2.9199157007376186</v>
      </c>
      <c r="O176" s="15"/>
      <c r="P176" s="15"/>
      <c r="Q176" s="15"/>
      <c r="R176" s="15"/>
      <c r="S176" s="15"/>
    </row>
    <row r="177" spans="1:19" x14ac:dyDescent="0.15">
      <c r="A177" s="23"/>
      <c r="B177" s="23"/>
      <c r="C177" s="23"/>
      <c r="D177" s="23"/>
      <c r="E177" s="23"/>
      <c r="F177" s="23"/>
      <c r="G177" s="23"/>
      <c r="H177" s="15">
        <v>9</v>
      </c>
      <c r="I177" s="15">
        <v>10</v>
      </c>
      <c r="J177" s="15">
        <f t="shared" si="53"/>
        <v>16</v>
      </c>
      <c r="K177" s="15">
        <f t="shared" si="53"/>
        <v>17</v>
      </c>
      <c r="L177" s="15">
        <v>-24.19</v>
      </c>
      <c r="M177" s="15">
        <v>9.68</v>
      </c>
      <c r="N177" s="15">
        <f t="shared" si="44"/>
        <v>2.4989669421487606</v>
      </c>
      <c r="O177" s="15"/>
      <c r="P177" s="15"/>
      <c r="Q177" s="15"/>
      <c r="R177" s="15"/>
      <c r="S177" s="15"/>
    </row>
    <row r="178" spans="1:19" x14ac:dyDescent="0.15">
      <c r="A178" s="23"/>
      <c r="B178" s="23"/>
      <c r="C178" s="23"/>
      <c r="D178" s="23"/>
      <c r="E178" s="23"/>
      <c r="F178" s="23"/>
      <c r="G178" s="23"/>
      <c r="H178" s="15">
        <v>9</v>
      </c>
      <c r="I178" s="15">
        <v>10</v>
      </c>
      <c r="J178" s="15">
        <f t="shared" si="53"/>
        <v>17</v>
      </c>
      <c r="K178" s="15">
        <f t="shared" si="53"/>
        <v>18</v>
      </c>
      <c r="L178" s="15">
        <v>-17.14</v>
      </c>
      <c r="M178" s="15">
        <v>9.93</v>
      </c>
      <c r="N178" s="15">
        <f t="shared" si="44"/>
        <v>1.7260825780463245</v>
      </c>
      <c r="O178" s="15"/>
      <c r="P178" s="15"/>
      <c r="Q178" s="15"/>
      <c r="R178" s="15"/>
      <c r="S178" s="15"/>
    </row>
    <row r="179" spans="1:19" x14ac:dyDescent="0.15">
      <c r="A179" s="23"/>
      <c r="B179" s="23"/>
      <c r="C179" s="23"/>
      <c r="D179" s="23"/>
      <c r="E179" s="23"/>
      <c r="F179" s="23"/>
      <c r="G179" s="23"/>
      <c r="H179" s="15">
        <v>9</v>
      </c>
      <c r="I179" s="15">
        <v>10</v>
      </c>
      <c r="J179" s="15">
        <f t="shared" si="53"/>
        <v>18</v>
      </c>
      <c r="K179" s="15">
        <f t="shared" si="53"/>
        <v>19</v>
      </c>
      <c r="L179" s="15">
        <v>-15.97</v>
      </c>
      <c r="M179" s="15">
        <v>10</v>
      </c>
      <c r="N179" s="15">
        <f t="shared" si="44"/>
        <v>1.597</v>
      </c>
      <c r="O179" s="15"/>
      <c r="P179" s="15"/>
      <c r="Q179" s="15"/>
      <c r="R179" s="15"/>
      <c r="S179" s="15"/>
    </row>
    <row r="180" spans="1:19" x14ac:dyDescent="0.15">
      <c r="A180" s="23"/>
      <c r="B180" s="23"/>
      <c r="C180" s="23"/>
      <c r="D180" s="23"/>
      <c r="E180" s="23"/>
      <c r="F180" s="23"/>
      <c r="G180" s="23"/>
      <c r="H180" s="15">
        <v>9</v>
      </c>
      <c r="I180" s="15">
        <v>10</v>
      </c>
      <c r="J180" s="15">
        <f t="shared" si="53"/>
        <v>19</v>
      </c>
      <c r="K180" s="15">
        <f t="shared" si="53"/>
        <v>20</v>
      </c>
      <c r="L180" s="15">
        <v>-13.9</v>
      </c>
      <c r="M180" s="15">
        <v>9.6300000000000008</v>
      </c>
      <c r="N180" s="15">
        <f t="shared" si="44"/>
        <v>1.4434060228452752</v>
      </c>
      <c r="O180" s="15"/>
      <c r="P180" s="15"/>
      <c r="Q180" s="15"/>
      <c r="R180" s="15"/>
      <c r="S180" s="15"/>
    </row>
    <row r="181" spans="1:19" x14ac:dyDescent="0.15">
      <c r="A181" s="23"/>
      <c r="B181" s="23"/>
      <c r="C181" s="23"/>
      <c r="D181" s="23"/>
      <c r="E181" s="23"/>
      <c r="F181" s="23"/>
      <c r="G181" s="23"/>
      <c r="H181" s="15">
        <v>9</v>
      </c>
      <c r="I181" s="15">
        <v>10</v>
      </c>
      <c r="J181" s="15">
        <f t="shared" si="53"/>
        <v>20</v>
      </c>
      <c r="K181" s="15">
        <f t="shared" si="53"/>
        <v>21</v>
      </c>
      <c r="L181" s="15">
        <v>-11.21</v>
      </c>
      <c r="M181" s="15">
        <v>9.4</v>
      </c>
      <c r="N181" s="15">
        <f t="shared" si="44"/>
        <v>1.1925531914893617</v>
      </c>
      <c r="O181" s="15"/>
      <c r="P181" s="15"/>
      <c r="Q181" s="15"/>
      <c r="R181" s="15"/>
      <c r="S181" s="15"/>
    </row>
    <row r="182" spans="1:19" x14ac:dyDescent="0.15">
      <c r="A182" s="23"/>
      <c r="B182" s="23"/>
      <c r="C182" s="23"/>
      <c r="D182" s="23"/>
      <c r="E182" s="23"/>
      <c r="F182" s="23"/>
      <c r="G182" s="23"/>
      <c r="H182" s="15">
        <v>9</v>
      </c>
      <c r="I182" s="15">
        <v>10</v>
      </c>
      <c r="J182" s="15">
        <f t="shared" si="53"/>
        <v>21</v>
      </c>
      <c r="K182" s="15">
        <f t="shared" si="53"/>
        <v>22</v>
      </c>
      <c r="L182" s="15">
        <v>-12.08</v>
      </c>
      <c r="M182" s="15">
        <v>9.5500000000000007</v>
      </c>
      <c r="N182" s="15">
        <f t="shared" si="44"/>
        <v>1.2649214659685863</v>
      </c>
      <c r="O182" s="15"/>
      <c r="P182" s="15"/>
      <c r="Q182" s="15"/>
      <c r="R182" s="15"/>
      <c r="S182" s="15"/>
    </row>
    <row r="183" spans="1:19" x14ac:dyDescent="0.15">
      <c r="A183" s="23"/>
      <c r="B183" s="23"/>
      <c r="C183" s="23"/>
      <c r="D183" s="23"/>
      <c r="E183" s="23"/>
      <c r="F183" s="23"/>
      <c r="G183" s="23"/>
      <c r="H183" s="15">
        <v>9</v>
      </c>
      <c r="I183" s="15">
        <v>10</v>
      </c>
      <c r="J183" s="15">
        <f t="shared" si="53"/>
        <v>22</v>
      </c>
      <c r="K183" s="15">
        <f t="shared" si="53"/>
        <v>23</v>
      </c>
      <c r="L183" s="15">
        <v>-15.45</v>
      </c>
      <c r="M183" s="15">
        <v>9.42</v>
      </c>
      <c r="N183" s="15">
        <f t="shared" si="44"/>
        <v>1.6401273885350318</v>
      </c>
      <c r="O183" s="15"/>
      <c r="P183" s="15"/>
      <c r="Q183" s="15"/>
      <c r="R183" s="15"/>
      <c r="S183" s="15"/>
    </row>
    <row r="184" spans="1:19" x14ac:dyDescent="0.15">
      <c r="A184" s="23"/>
      <c r="B184" s="23"/>
      <c r="C184" s="23"/>
      <c r="D184" s="23"/>
      <c r="E184" s="23"/>
      <c r="F184" s="23"/>
      <c r="G184" s="23"/>
      <c r="H184" s="15">
        <v>9</v>
      </c>
      <c r="I184" s="15">
        <v>10</v>
      </c>
      <c r="J184" s="15">
        <f t="shared" si="53"/>
        <v>23</v>
      </c>
      <c r="K184" s="15">
        <f t="shared" si="53"/>
        <v>24</v>
      </c>
      <c r="L184" s="15">
        <v>-11.19</v>
      </c>
      <c r="M184" s="15">
        <v>9.24</v>
      </c>
      <c r="N184" s="15">
        <f t="shared" si="44"/>
        <v>1.2110389610389609</v>
      </c>
      <c r="O184" s="15"/>
      <c r="P184" s="15"/>
      <c r="Q184" s="15"/>
      <c r="R184" s="15"/>
      <c r="S184" s="15"/>
    </row>
    <row r="185" spans="1:19" x14ac:dyDescent="0.15">
      <c r="A185" s="23"/>
      <c r="B185" s="23"/>
      <c r="C185" s="23"/>
      <c r="D185" s="23"/>
      <c r="E185" s="23"/>
      <c r="F185" s="23"/>
      <c r="G185" s="23"/>
      <c r="H185" s="15">
        <v>9</v>
      </c>
      <c r="I185" s="15">
        <v>10</v>
      </c>
      <c r="J185" s="15">
        <f>J184+1</f>
        <v>24</v>
      </c>
      <c r="K185" s="15">
        <v>1</v>
      </c>
      <c r="L185" s="15">
        <v>-14.52</v>
      </c>
      <c r="M185" s="15">
        <v>9.43</v>
      </c>
      <c r="N185" s="15">
        <f t="shared" si="44"/>
        <v>1.5397667020148462</v>
      </c>
      <c r="O185" s="15"/>
      <c r="P185" s="15"/>
      <c r="Q185" s="15"/>
      <c r="R185" s="15"/>
      <c r="S185" s="15"/>
    </row>
    <row r="186" spans="1:19" x14ac:dyDescent="0.15">
      <c r="A186" s="23"/>
      <c r="B186" s="23"/>
      <c r="C186" s="23"/>
      <c r="D186" s="23"/>
      <c r="E186" s="23"/>
      <c r="F186" s="23"/>
      <c r="G186" s="23"/>
      <c r="H186" s="15">
        <v>9</v>
      </c>
      <c r="I186" s="15">
        <v>10</v>
      </c>
      <c r="J186" s="15">
        <v>1</v>
      </c>
      <c r="K186" s="15">
        <f t="shared" ref="K186:K192" si="54">K185+1</f>
        <v>2</v>
      </c>
      <c r="L186" s="15">
        <v>-18.05</v>
      </c>
      <c r="M186" s="15">
        <v>9.4600000000000009</v>
      </c>
      <c r="N186" s="15">
        <f t="shared" si="44"/>
        <v>1.9080338266384778</v>
      </c>
      <c r="O186" s="15"/>
      <c r="P186" s="15"/>
      <c r="Q186" s="15"/>
      <c r="R186" s="15"/>
      <c r="S186" s="15"/>
    </row>
    <row r="187" spans="1:19" x14ac:dyDescent="0.15">
      <c r="A187" s="23"/>
      <c r="B187" s="23"/>
      <c r="C187" s="23"/>
      <c r="D187" s="23"/>
      <c r="E187" s="23"/>
      <c r="F187" s="23"/>
      <c r="G187" s="23"/>
      <c r="H187" s="15">
        <v>9</v>
      </c>
      <c r="I187" s="15">
        <v>10</v>
      </c>
      <c r="J187" s="15">
        <f t="shared" ref="J187:J192" si="55">J186+1</f>
        <v>2</v>
      </c>
      <c r="K187" s="15">
        <f t="shared" si="54"/>
        <v>3</v>
      </c>
      <c r="L187" s="15">
        <v>-22.77</v>
      </c>
      <c r="M187" s="15">
        <v>9.48</v>
      </c>
      <c r="N187" s="15">
        <f t="shared" si="44"/>
        <v>2.4018987341772151</v>
      </c>
      <c r="O187" s="15"/>
      <c r="P187" s="15"/>
      <c r="Q187" s="15"/>
      <c r="R187" s="15"/>
      <c r="S187" s="15"/>
    </row>
    <row r="188" spans="1:19" x14ac:dyDescent="0.15">
      <c r="A188" s="23"/>
      <c r="B188" s="23"/>
      <c r="C188" s="23"/>
      <c r="D188" s="23"/>
      <c r="E188" s="23"/>
      <c r="F188" s="23"/>
      <c r="G188" s="23"/>
      <c r="H188" s="15">
        <v>9</v>
      </c>
      <c r="I188" s="15">
        <v>10</v>
      </c>
      <c r="J188" s="15">
        <f t="shared" si="55"/>
        <v>3</v>
      </c>
      <c r="K188" s="15">
        <f t="shared" si="54"/>
        <v>4</v>
      </c>
      <c r="L188" s="15">
        <v>-25.03</v>
      </c>
      <c r="M188" s="15">
        <v>9.64</v>
      </c>
      <c r="N188" s="15">
        <f t="shared" si="44"/>
        <v>2.5964730290456433</v>
      </c>
      <c r="O188" s="15"/>
      <c r="P188" s="15"/>
      <c r="Q188" s="15"/>
      <c r="R188" s="15"/>
      <c r="S188" s="15"/>
    </row>
    <row r="189" spans="1:19" x14ac:dyDescent="0.15">
      <c r="A189" s="23"/>
      <c r="B189" s="23"/>
      <c r="C189" s="23"/>
      <c r="D189" s="23"/>
      <c r="E189" s="23"/>
      <c r="F189" s="23"/>
      <c r="G189" s="23"/>
      <c r="H189" s="15">
        <v>9</v>
      </c>
      <c r="I189" s="15">
        <v>10</v>
      </c>
      <c r="J189" s="15">
        <f t="shared" si="55"/>
        <v>4</v>
      </c>
      <c r="K189" s="15">
        <f t="shared" si="54"/>
        <v>5</v>
      </c>
      <c r="L189" s="15">
        <v>-38.21</v>
      </c>
      <c r="M189" s="15">
        <v>9.51</v>
      </c>
      <c r="N189" s="15">
        <f t="shared" si="44"/>
        <v>4.0178759200841219</v>
      </c>
      <c r="O189" s="15"/>
      <c r="P189" s="15"/>
      <c r="Q189" s="15"/>
      <c r="R189" s="15"/>
      <c r="S189" s="15"/>
    </row>
    <row r="190" spans="1:19" x14ac:dyDescent="0.15">
      <c r="A190" s="23"/>
      <c r="B190" s="23"/>
      <c r="C190" s="23"/>
      <c r="D190" s="23"/>
      <c r="E190" s="23"/>
      <c r="F190" s="23"/>
      <c r="G190" s="23"/>
      <c r="H190" s="15">
        <v>9</v>
      </c>
      <c r="I190" s="15">
        <v>10</v>
      </c>
      <c r="J190" s="15">
        <f t="shared" si="55"/>
        <v>5</v>
      </c>
      <c r="K190" s="15">
        <f t="shared" si="54"/>
        <v>6</v>
      </c>
      <c r="L190" s="15">
        <v>-67.540000000000006</v>
      </c>
      <c r="M190" s="15">
        <v>9.66</v>
      </c>
      <c r="N190" s="15">
        <f t="shared" si="44"/>
        <v>6.9917184265010359</v>
      </c>
      <c r="O190" s="15"/>
      <c r="P190" s="15"/>
      <c r="Q190" s="15"/>
      <c r="R190" s="15"/>
      <c r="S190" s="15"/>
    </row>
    <row r="191" spans="1:19" x14ac:dyDescent="0.15">
      <c r="A191" s="23"/>
      <c r="B191" s="23"/>
      <c r="C191" s="23"/>
      <c r="D191" s="23"/>
      <c r="E191" s="23"/>
      <c r="F191" s="23"/>
      <c r="G191" s="23"/>
      <c r="H191" s="15">
        <v>9</v>
      </c>
      <c r="I191" s="15">
        <v>10</v>
      </c>
      <c r="J191" s="15">
        <f t="shared" si="55"/>
        <v>6</v>
      </c>
      <c r="K191" s="15">
        <f t="shared" si="54"/>
        <v>7</v>
      </c>
      <c r="L191" s="15">
        <v>-165.31</v>
      </c>
      <c r="M191" s="15">
        <v>9.5500000000000007</v>
      </c>
      <c r="N191" s="15">
        <f t="shared" si="44"/>
        <v>17.309947643979058</v>
      </c>
      <c r="O191" s="15"/>
      <c r="P191" s="15"/>
      <c r="Q191" s="15"/>
      <c r="R191" s="15"/>
      <c r="S191" s="15"/>
    </row>
    <row r="192" spans="1:19" x14ac:dyDescent="0.15">
      <c r="A192" s="23"/>
      <c r="B192" s="23"/>
      <c r="C192" s="23"/>
      <c r="D192" s="23"/>
      <c r="E192" s="23"/>
      <c r="F192" s="23"/>
      <c r="G192" s="23"/>
      <c r="H192" s="15">
        <v>9</v>
      </c>
      <c r="I192" s="15">
        <v>10</v>
      </c>
      <c r="J192" s="15">
        <f t="shared" si="55"/>
        <v>7</v>
      </c>
      <c r="K192" s="15">
        <f t="shared" si="54"/>
        <v>8</v>
      </c>
      <c r="L192" s="15">
        <v>-650.28</v>
      </c>
      <c r="M192" s="15">
        <v>9.4</v>
      </c>
      <c r="N192" s="15">
        <f t="shared" si="44"/>
        <v>69.178723404255308</v>
      </c>
      <c r="O192" s="15"/>
      <c r="P192" s="15"/>
      <c r="Q192" s="15"/>
      <c r="R192" s="15"/>
      <c r="S192" s="15"/>
    </row>
    <row r="193" spans="1:19" x14ac:dyDescent="0.15">
      <c r="A193" s="23"/>
      <c r="B193" s="23"/>
      <c r="C193" s="23"/>
      <c r="D193" s="23"/>
      <c r="E193" s="23"/>
      <c r="F193" s="23"/>
      <c r="G193" s="23"/>
      <c r="H193" s="15">
        <v>10</v>
      </c>
      <c r="I193" s="15">
        <v>11</v>
      </c>
      <c r="J193" s="15">
        <f>I193+1</f>
        <v>12</v>
      </c>
      <c r="K193" s="15">
        <f>J193+1</f>
        <v>13</v>
      </c>
      <c r="L193" s="15">
        <v>-417.67</v>
      </c>
      <c r="M193" s="15">
        <v>6.4</v>
      </c>
      <c r="N193" s="15">
        <f t="shared" si="44"/>
        <v>65.260937499999997</v>
      </c>
      <c r="O193" s="15"/>
      <c r="P193" s="15"/>
      <c r="Q193" s="15"/>
      <c r="R193" s="15"/>
      <c r="S193" s="15"/>
    </row>
    <row r="194" spans="1:19" x14ac:dyDescent="0.15">
      <c r="A194" s="23"/>
      <c r="B194" s="23"/>
      <c r="C194" s="23"/>
      <c r="D194" s="23"/>
      <c r="E194" s="23"/>
      <c r="F194" s="23"/>
      <c r="G194" s="23"/>
      <c r="H194" s="15">
        <v>10</v>
      </c>
      <c r="I194" s="15">
        <v>11</v>
      </c>
      <c r="J194" s="15">
        <f t="shared" ref="J194:K204" si="56">J193+1</f>
        <v>13</v>
      </c>
      <c r="K194" s="15">
        <f t="shared" si="56"/>
        <v>14</v>
      </c>
      <c r="L194" s="15">
        <v>-99.09</v>
      </c>
      <c r="M194" s="15">
        <v>6.28</v>
      </c>
      <c r="N194" s="15">
        <f t="shared" si="44"/>
        <v>15.778662420382165</v>
      </c>
      <c r="O194" s="15"/>
      <c r="P194" s="15"/>
      <c r="Q194" s="15"/>
      <c r="R194" s="15"/>
      <c r="S194" s="15"/>
    </row>
    <row r="195" spans="1:19" x14ac:dyDescent="0.15">
      <c r="A195" s="23"/>
      <c r="B195" s="23"/>
      <c r="C195" s="23"/>
      <c r="D195" s="23"/>
      <c r="E195" s="23"/>
      <c r="F195" s="23"/>
      <c r="G195" s="23"/>
      <c r="H195" s="15">
        <v>10</v>
      </c>
      <c r="I195" s="15">
        <v>11</v>
      </c>
      <c r="J195" s="15">
        <f t="shared" si="56"/>
        <v>14</v>
      </c>
      <c r="K195" s="15">
        <f t="shared" si="56"/>
        <v>15</v>
      </c>
      <c r="L195" s="15">
        <v>-40.880000000000003</v>
      </c>
      <c r="M195" s="15">
        <v>5.9</v>
      </c>
      <c r="N195" s="15">
        <f t="shared" si="44"/>
        <v>6.9288135593220339</v>
      </c>
      <c r="O195" s="15"/>
      <c r="P195" s="15"/>
      <c r="Q195" s="15"/>
      <c r="R195" s="15"/>
      <c r="S195" s="15"/>
    </row>
    <row r="196" spans="1:19" x14ac:dyDescent="0.15">
      <c r="A196" s="23"/>
      <c r="B196" s="23"/>
      <c r="C196" s="23"/>
      <c r="D196" s="23"/>
      <c r="E196" s="23"/>
      <c r="F196" s="23"/>
      <c r="G196" s="23"/>
      <c r="H196" s="15">
        <v>10</v>
      </c>
      <c r="I196" s="15">
        <v>11</v>
      </c>
      <c r="J196" s="15">
        <f t="shared" si="56"/>
        <v>15</v>
      </c>
      <c r="K196" s="15">
        <f t="shared" si="56"/>
        <v>16</v>
      </c>
      <c r="L196" s="15">
        <v>-20.57</v>
      </c>
      <c r="M196" s="15">
        <v>5.61</v>
      </c>
      <c r="N196" s="15">
        <f t="shared" si="44"/>
        <v>3.6666666666666665</v>
      </c>
      <c r="O196" s="15"/>
      <c r="P196" s="15"/>
      <c r="Q196" s="15"/>
      <c r="R196" s="15"/>
      <c r="S196" s="15"/>
    </row>
    <row r="197" spans="1:19" x14ac:dyDescent="0.15">
      <c r="A197" s="23"/>
      <c r="B197" s="23"/>
      <c r="C197" s="23"/>
      <c r="D197" s="23"/>
      <c r="E197" s="23"/>
      <c r="F197" s="23"/>
      <c r="G197" s="23"/>
      <c r="H197" s="15">
        <v>10</v>
      </c>
      <c r="I197" s="15">
        <v>11</v>
      </c>
      <c r="J197" s="15">
        <f t="shared" si="56"/>
        <v>16</v>
      </c>
      <c r="K197" s="15">
        <f t="shared" si="56"/>
        <v>17</v>
      </c>
      <c r="L197" s="15">
        <v>-2.67</v>
      </c>
      <c r="M197" s="15">
        <v>5.52</v>
      </c>
      <c r="N197" s="15">
        <f t="shared" ref="N197:N260" si="57">-L197/M197</f>
        <v>0.48369565217391308</v>
      </c>
      <c r="O197" s="15"/>
      <c r="P197" s="15"/>
      <c r="Q197" s="15"/>
      <c r="R197" s="15"/>
      <c r="S197" s="15"/>
    </row>
    <row r="198" spans="1:19" x14ac:dyDescent="0.15">
      <c r="A198" s="23"/>
      <c r="B198" s="23"/>
      <c r="C198" s="23"/>
      <c r="D198" s="23"/>
      <c r="E198" s="23"/>
      <c r="F198" s="23"/>
      <c r="G198" s="23"/>
      <c r="H198" s="15">
        <v>10</v>
      </c>
      <c r="I198" s="15">
        <v>11</v>
      </c>
      <c r="J198" s="15">
        <f t="shared" si="56"/>
        <v>17</v>
      </c>
      <c r="K198" s="15">
        <f t="shared" si="56"/>
        <v>18</v>
      </c>
      <c r="L198" s="15">
        <v>-10.11</v>
      </c>
      <c r="M198" s="15">
        <v>5.42</v>
      </c>
      <c r="N198" s="15">
        <f t="shared" si="57"/>
        <v>1.8653136531365313</v>
      </c>
      <c r="O198" s="15"/>
      <c r="P198" s="15"/>
      <c r="Q198" s="15"/>
      <c r="R198" s="15"/>
      <c r="S198" s="15"/>
    </row>
    <row r="199" spans="1:19" x14ac:dyDescent="0.15">
      <c r="A199" s="23"/>
      <c r="B199" s="23"/>
      <c r="C199" s="23"/>
      <c r="D199" s="23"/>
      <c r="E199" s="23"/>
      <c r="F199" s="23"/>
      <c r="G199" s="23"/>
      <c r="H199" s="15">
        <v>10</v>
      </c>
      <c r="I199" s="15">
        <v>11</v>
      </c>
      <c r="J199" s="15">
        <f t="shared" si="56"/>
        <v>18</v>
      </c>
      <c r="K199" s="15">
        <f t="shared" si="56"/>
        <v>19</v>
      </c>
      <c r="L199" s="15">
        <v>-8.94</v>
      </c>
      <c r="M199" s="15">
        <v>5.49</v>
      </c>
      <c r="N199" s="15">
        <f t="shared" si="57"/>
        <v>1.6284153005464479</v>
      </c>
      <c r="O199" s="15"/>
      <c r="P199" s="15"/>
      <c r="Q199" s="15"/>
      <c r="R199" s="15"/>
      <c r="S199" s="15"/>
    </row>
    <row r="200" spans="1:19" x14ac:dyDescent="0.15">
      <c r="A200" s="23"/>
      <c r="B200" s="23"/>
      <c r="C200" s="23"/>
      <c r="D200" s="23"/>
      <c r="E200" s="23"/>
      <c r="F200" s="23"/>
      <c r="G200" s="23"/>
      <c r="H200" s="15">
        <v>10</v>
      </c>
      <c r="I200" s="15">
        <v>11</v>
      </c>
      <c r="J200" s="15">
        <f t="shared" si="56"/>
        <v>19</v>
      </c>
      <c r="K200" s="15">
        <f t="shared" si="56"/>
        <v>20</v>
      </c>
      <c r="L200" s="15">
        <v>-2.99</v>
      </c>
      <c r="M200" s="15">
        <v>5.79</v>
      </c>
      <c r="N200" s="15">
        <f t="shared" si="57"/>
        <v>0.5164075993091537</v>
      </c>
      <c r="O200" s="15"/>
      <c r="P200" s="15"/>
      <c r="Q200" s="15"/>
      <c r="R200" s="15"/>
      <c r="S200" s="15"/>
    </row>
    <row r="201" spans="1:19" x14ac:dyDescent="0.15">
      <c r="A201" s="23"/>
      <c r="B201" s="23"/>
      <c r="C201" s="23"/>
      <c r="D201" s="23"/>
      <c r="E201" s="23"/>
      <c r="F201" s="23"/>
      <c r="G201" s="23"/>
      <c r="H201" s="15">
        <v>10</v>
      </c>
      <c r="I201" s="15">
        <v>11</v>
      </c>
      <c r="J201" s="15">
        <f t="shared" si="56"/>
        <v>20</v>
      </c>
      <c r="K201" s="15">
        <f t="shared" si="56"/>
        <v>21</v>
      </c>
      <c r="L201" s="15">
        <v>-6.15</v>
      </c>
      <c r="M201" s="15">
        <v>5.03</v>
      </c>
      <c r="N201" s="15">
        <f t="shared" si="57"/>
        <v>1.2226640159045725</v>
      </c>
      <c r="O201" s="15"/>
      <c r="P201" s="15"/>
      <c r="Q201" s="15"/>
      <c r="R201" s="15"/>
      <c r="S201" s="15"/>
    </row>
    <row r="202" spans="1:19" x14ac:dyDescent="0.15">
      <c r="A202" s="23"/>
      <c r="B202" s="23"/>
      <c r="C202" s="23"/>
      <c r="D202" s="23"/>
      <c r="E202" s="23"/>
      <c r="F202" s="23"/>
      <c r="G202" s="23"/>
      <c r="H202" s="15">
        <v>10</v>
      </c>
      <c r="I202" s="15">
        <v>11</v>
      </c>
      <c r="J202" s="15">
        <f t="shared" si="56"/>
        <v>21</v>
      </c>
      <c r="K202" s="15">
        <f t="shared" si="56"/>
        <v>22</v>
      </c>
      <c r="L202" s="15">
        <v>-4.75</v>
      </c>
      <c r="M202" s="15">
        <v>4.8499999999999996</v>
      </c>
      <c r="N202" s="15">
        <f t="shared" si="57"/>
        <v>0.97938144329896915</v>
      </c>
      <c r="O202" s="15"/>
      <c r="P202" s="15"/>
      <c r="Q202" s="15"/>
      <c r="R202" s="15"/>
      <c r="S202" s="15"/>
    </row>
    <row r="203" spans="1:19" x14ac:dyDescent="0.15">
      <c r="A203" s="23"/>
      <c r="B203" s="23"/>
      <c r="C203" s="23"/>
      <c r="D203" s="23"/>
      <c r="E203" s="23"/>
      <c r="F203" s="23"/>
      <c r="G203" s="23"/>
      <c r="H203" s="15">
        <v>10</v>
      </c>
      <c r="I203" s="15">
        <v>11</v>
      </c>
      <c r="J203" s="15">
        <f t="shared" si="56"/>
        <v>22</v>
      </c>
      <c r="K203" s="15">
        <f t="shared" si="56"/>
        <v>23</v>
      </c>
      <c r="L203" s="15">
        <v>-0.25</v>
      </c>
      <c r="M203" s="15">
        <v>5.0599999999999996</v>
      </c>
      <c r="N203" s="15">
        <f t="shared" si="57"/>
        <v>4.9407114624505935E-2</v>
      </c>
      <c r="O203" s="15"/>
      <c r="P203" s="15"/>
      <c r="Q203" s="15"/>
      <c r="R203" s="15"/>
      <c r="S203" s="15"/>
    </row>
    <row r="204" spans="1:19" x14ac:dyDescent="0.15">
      <c r="A204" s="23"/>
      <c r="B204" s="23"/>
      <c r="C204" s="23"/>
      <c r="D204" s="23"/>
      <c r="E204" s="23"/>
      <c r="F204" s="23"/>
      <c r="G204" s="23"/>
      <c r="H204" s="15">
        <v>10</v>
      </c>
      <c r="I204" s="15">
        <v>11</v>
      </c>
      <c r="J204" s="15">
        <f t="shared" si="56"/>
        <v>23</v>
      </c>
      <c r="K204" s="15">
        <f t="shared" si="56"/>
        <v>24</v>
      </c>
      <c r="L204" s="15">
        <v>-4.63</v>
      </c>
      <c r="M204" s="15">
        <v>5.53</v>
      </c>
      <c r="N204" s="15">
        <f t="shared" si="57"/>
        <v>0.83725135623869795</v>
      </c>
      <c r="O204" s="15"/>
      <c r="P204" s="15"/>
      <c r="Q204" s="15"/>
      <c r="R204" s="15"/>
      <c r="S204" s="15"/>
    </row>
    <row r="205" spans="1:19" x14ac:dyDescent="0.15">
      <c r="A205" s="15"/>
      <c r="B205" s="15"/>
      <c r="C205" s="15"/>
      <c r="D205" s="15"/>
      <c r="E205" s="15"/>
      <c r="F205" s="15"/>
      <c r="G205" s="15"/>
      <c r="H205" s="15">
        <v>10</v>
      </c>
      <c r="I205" s="15">
        <v>11</v>
      </c>
      <c r="J205" s="15">
        <f>J204+1</f>
        <v>24</v>
      </c>
      <c r="K205" s="15">
        <v>1</v>
      </c>
      <c r="L205" s="15">
        <v>-6.23</v>
      </c>
      <c r="M205" s="15">
        <v>5.16</v>
      </c>
      <c r="N205" s="15">
        <f t="shared" si="57"/>
        <v>1.2073643410852715</v>
      </c>
      <c r="O205" s="15"/>
      <c r="P205" s="15"/>
      <c r="Q205" s="15"/>
      <c r="R205" s="15"/>
      <c r="S205" s="15"/>
    </row>
    <row r="206" spans="1:19" x14ac:dyDescent="0.15">
      <c r="A206" s="15"/>
      <c r="B206" s="15"/>
      <c r="C206" s="15"/>
      <c r="D206" s="15"/>
      <c r="E206" s="15"/>
      <c r="F206" s="15"/>
      <c r="G206" s="15"/>
      <c r="H206" s="15">
        <v>10</v>
      </c>
      <c r="I206" s="15">
        <v>11</v>
      </c>
      <c r="J206" s="15">
        <v>1</v>
      </c>
      <c r="K206" s="15">
        <f t="shared" ref="K206:K213" si="58">K205+1</f>
        <v>2</v>
      </c>
      <c r="L206" s="15">
        <v>-5.77</v>
      </c>
      <c r="M206" s="15">
        <v>6.15</v>
      </c>
      <c r="N206" s="15">
        <f t="shared" si="57"/>
        <v>0.93821138211382105</v>
      </c>
      <c r="O206" s="15"/>
      <c r="P206" s="15"/>
      <c r="Q206" s="15"/>
      <c r="R206" s="15"/>
      <c r="S206" s="15"/>
    </row>
    <row r="207" spans="1:19" x14ac:dyDescent="0.15">
      <c r="A207" s="15"/>
      <c r="B207" s="15"/>
      <c r="C207" s="15"/>
      <c r="D207" s="15"/>
      <c r="E207" s="15"/>
      <c r="F207" s="15"/>
      <c r="G207" s="15"/>
      <c r="H207" s="15">
        <v>10</v>
      </c>
      <c r="I207" s="15">
        <v>11</v>
      </c>
      <c r="J207" s="15">
        <f t="shared" ref="J207:J213" si="59">J206+1</f>
        <v>2</v>
      </c>
      <c r="K207" s="15">
        <f t="shared" si="58"/>
        <v>3</v>
      </c>
      <c r="L207" s="15">
        <v>-2.94</v>
      </c>
      <c r="M207" s="15">
        <v>6.37</v>
      </c>
      <c r="N207" s="15">
        <f t="shared" si="57"/>
        <v>0.46153846153846151</v>
      </c>
      <c r="O207" s="15"/>
      <c r="P207" s="15"/>
      <c r="Q207" s="15"/>
      <c r="R207" s="15"/>
      <c r="S207" s="15"/>
    </row>
    <row r="208" spans="1:19" x14ac:dyDescent="0.15">
      <c r="A208" s="15"/>
      <c r="B208" s="15"/>
      <c r="C208" s="15"/>
      <c r="D208" s="15"/>
      <c r="E208" s="15"/>
      <c r="F208" s="15"/>
      <c r="G208" s="15"/>
      <c r="H208" s="15">
        <v>10</v>
      </c>
      <c r="I208" s="15">
        <v>11</v>
      </c>
      <c r="J208" s="15">
        <f t="shared" si="59"/>
        <v>3</v>
      </c>
      <c r="K208" s="15">
        <f t="shared" si="58"/>
        <v>4</v>
      </c>
      <c r="L208" s="15">
        <v>-13.36</v>
      </c>
      <c r="M208" s="15">
        <v>6.52</v>
      </c>
      <c r="N208" s="15">
        <f t="shared" si="57"/>
        <v>2.0490797546012272</v>
      </c>
      <c r="O208" s="15"/>
      <c r="P208" s="15"/>
      <c r="Q208" s="15"/>
      <c r="R208" s="15"/>
      <c r="S208" s="15"/>
    </row>
    <row r="209" spans="1:19" x14ac:dyDescent="0.15">
      <c r="A209" s="15"/>
      <c r="B209" s="15"/>
      <c r="C209" s="15"/>
      <c r="D209" s="15"/>
      <c r="E209" s="15"/>
      <c r="F209" s="15"/>
      <c r="G209" s="15"/>
      <c r="H209" s="15">
        <v>10</v>
      </c>
      <c r="I209" s="15">
        <v>11</v>
      </c>
      <c r="J209" s="15">
        <f t="shared" si="59"/>
        <v>4</v>
      </c>
      <c r="K209" s="15">
        <f t="shared" si="58"/>
        <v>5</v>
      </c>
      <c r="L209" s="15">
        <v>-16.5</v>
      </c>
      <c r="M209" s="15">
        <v>6.39</v>
      </c>
      <c r="N209" s="15">
        <f t="shared" si="57"/>
        <v>2.5821596244131455</v>
      </c>
      <c r="O209" s="15"/>
      <c r="P209" s="15"/>
      <c r="Q209" s="15"/>
      <c r="R209" s="15"/>
      <c r="S209" s="15"/>
    </row>
    <row r="210" spans="1:19" x14ac:dyDescent="0.15">
      <c r="A210" s="15"/>
      <c r="B210" s="15"/>
      <c r="C210" s="15"/>
      <c r="D210" s="15"/>
      <c r="E210" s="15"/>
      <c r="F210" s="15"/>
      <c r="G210" s="15"/>
      <c r="H210" s="15">
        <v>10</v>
      </c>
      <c r="I210" s="15">
        <v>11</v>
      </c>
      <c r="J210" s="15">
        <f t="shared" si="59"/>
        <v>5</v>
      </c>
      <c r="K210" s="15">
        <f t="shared" si="58"/>
        <v>6</v>
      </c>
      <c r="L210" s="15">
        <v>-21.84</v>
      </c>
      <c r="M210" s="15">
        <v>6.39</v>
      </c>
      <c r="N210" s="15">
        <f t="shared" si="57"/>
        <v>3.4178403755868545</v>
      </c>
      <c r="O210" s="15"/>
      <c r="P210" s="15"/>
      <c r="Q210" s="15"/>
      <c r="R210" s="15"/>
      <c r="S210" s="15"/>
    </row>
    <row r="211" spans="1:19" x14ac:dyDescent="0.15">
      <c r="A211" s="15"/>
      <c r="B211" s="15"/>
      <c r="C211" s="15"/>
      <c r="D211" s="15"/>
      <c r="E211" s="15"/>
      <c r="F211" s="15"/>
      <c r="G211" s="15"/>
      <c r="H211" s="15">
        <v>10</v>
      </c>
      <c r="I211" s="15">
        <v>11</v>
      </c>
      <c r="J211" s="15">
        <f t="shared" si="59"/>
        <v>6</v>
      </c>
      <c r="K211" s="15">
        <f t="shared" si="58"/>
        <v>7</v>
      </c>
      <c r="L211" s="15">
        <v>-35.42</v>
      </c>
      <c r="M211" s="15">
        <v>5.91</v>
      </c>
      <c r="N211" s="15">
        <f t="shared" si="57"/>
        <v>5.9932318104906939</v>
      </c>
      <c r="O211" s="15"/>
      <c r="P211" s="15"/>
      <c r="Q211" s="15"/>
      <c r="R211" s="15"/>
      <c r="S211" s="15"/>
    </row>
    <row r="212" spans="1:19" x14ac:dyDescent="0.15">
      <c r="A212" s="15"/>
      <c r="B212" s="15"/>
      <c r="C212" s="15"/>
      <c r="D212" s="15"/>
      <c r="E212" s="15"/>
      <c r="F212" s="15"/>
      <c r="G212" s="15"/>
      <c r="H212" s="15">
        <v>10</v>
      </c>
      <c r="I212" s="15">
        <v>11</v>
      </c>
      <c r="J212" s="15">
        <f t="shared" si="59"/>
        <v>7</v>
      </c>
      <c r="K212" s="15">
        <f t="shared" si="58"/>
        <v>8</v>
      </c>
      <c r="L212" s="15">
        <v>-101.16</v>
      </c>
      <c r="M212" s="15">
        <v>5.73</v>
      </c>
      <c r="N212" s="15">
        <f t="shared" si="57"/>
        <v>17.654450261780102</v>
      </c>
      <c r="O212" s="15"/>
      <c r="P212" s="15"/>
      <c r="Q212" s="15"/>
      <c r="R212" s="15"/>
      <c r="S212" s="15"/>
    </row>
    <row r="213" spans="1:19" x14ac:dyDescent="0.15">
      <c r="A213" s="15"/>
      <c r="B213" s="15"/>
      <c r="C213" s="15"/>
      <c r="D213" s="15"/>
      <c r="E213" s="15"/>
      <c r="F213" s="15"/>
      <c r="G213" s="15"/>
      <c r="H213" s="15">
        <v>10</v>
      </c>
      <c r="I213" s="15">
        <v>11</v>
      </c>
      <c r="J213" s="15">
        <f t="shared" si="59"/>
        <v>8</v>
      </c>
      <c r="K213" s="15">
        <f t="shared" si="58"/>
        <v>9</v>
      </c>
      <c r="L213" s="15">
        <v>-378.72</v>
      </c>
      <c r="M213" s="15">
        <v>5.92</v>
      </c>
      <c r="N213" s="15">
        <f t="shared" si="57"/>
        <v>63.972972972972975</v>
      </c>
      <c r="O213" s="22"/>
      <c r="P213" s="22"/>
      <c r="Q213" s="22"/>
      <c r="R213" s="15"/>
      <c r="S213" s="15"/>
    </row>
    <row r="214" spans="1:19" x14ac:dyDescent="0.15">
      <c r="A214" s="22"/>
      <c r="B214" s="22"/>
      <c r="C214" s="22"/>
      <c r="D214" s="22"/>
      <c r="E214" s="22"/>
      <c r="F214" s="22"/>
      <c r="G214" s="41"/>
      <c r="H214" s="15">
        <v>11</v>
      </c>
      <c r="I214" s="15">
        <v>12</v>
      </c>
      <c r="J214" s="15">
        <f>I214+1</f>
        <v>13</v>
      </c>
      <c r="K214" s="15">
        <f>J214+1</f>
        <v>14</v>
      </c>
      <c r="L214" s="15">
        <v>-380.69</v>
      </c>
      <c r="M214" s="15">
        <v>5.96</v>
      </c>
      <c r="N214" s="15">
        <f t="shared" si="57"/>
        <v>63.874161073825505</v>
      </c>
      <c r="O214" s="22"/>
      <c r="P214" s="22"/>
      <c r="Q214" s="22"/>
      <c r="R214" s="15"/>
      <c r="S214" s="15"/>
    </row>
    <row r="215" spans="1:19" x14ac:dyDescent="0.15">
      <c r="A215" s="22"/>
      <c r="B215" s="22"/>
      <c r="C215" s="22"/>
      <c r="D215" s="22"/>
      <c r="E215" s="22"/>
      <c r="F215" s="22"/>
      <c r="G215" s="41"/>
      <c r="H215" s="15">
        <v>11</v>
      </c>
      <c r="I215" s="15">
        <v>12</v>
      </c>
      <c r="J215" s="15">
        <f t="shared" ref="J215:K224" si="60">J214+1</f>
        <v>14</v>
      </c>
      <c r="K215" s="15">
        <f t="shared" si="60"/>
        <v>15</v>
      </c>
      <c r="L215" s="15">
        <v>-105.5</v>
      </c>
      <c r="M215" s="15">
        <v>6.57</v>
      </c>
      <c r="N215" s="15">
        <f t="shared" si="57"/>
        <v>16.057838660578387</v>
      </c>
      <c r="O215" s="22"/>
      <c r="P215" s="22"/>
      <c r="Q215" s="22"/>
      <c r="R215" s="15"/>
      <c r="S215" s="15"/>
    </row>
    <row r="216" spans="1:19" x14ac:dyDescent="0.15">
      <c r="A216" s="22"/>
      <c r="B216" s="22"/>
      <c r="C216" s="22"/>
      <c r="D216" s="22"/>
      <c r="E216" s="22"/>
      <c r="F216" s="22"/>
      <c r="G216" s="41"/>
      <c r="H216" s="15">
        <v>11</v>
      </c>
      <c r="I216" s="15">
        <v>12</v>
      </c>
      <c r="J216" s="15">
        <f t="shared" si="60"/>
        <v>15</v>
      </c>
      <c r="K216" s="15">
        <f t="shared" si="60"/>
        <v>16</v>
      </c>
      <c r="L216" s="15">
        <v>-48.03</v>
      </c>
      <c r="M216" s="15">
        <v>6.44</v>
      </c>
      <c r="N216" s="15">
        <f t="shared" si="57"/>
        <v>7.45807453416149</v>
      </c>
      <c r="O216" s="22"/>
      <c r="P216" s="22"/>
      <c r="Q216" s="22"/>
      <c r="R216" s="15"/>
      <c r="S216" s="15"/>
    </row>
    <row r="217" spans="1:19" x14ac:dyDescent="0.15">
      <c r="A217" s="22"/>
      <c r="B217" s="22"/>
      <c r="C217" s="22"/>
      <c r="D217" s="22"/>
      <c r="E217" s="22"/>
      <c r="F217" s="22"/>
      <c r="G217" s="41"/>
      <c r="H217" s="15">
        <v>11</v>
      </c>
      <c r="I217" s="15">
        <v>12</v>
      </c>
      <c r="J217" s="15">
        <f t="shared" si="60"/>
        <v>16</v>
      </c>
      <c r="K217" s="15">
        <f t="shared" si="60"/>
        <v>17</v>
      </c>
      <c r="L217" s="15">
        <v>-31.45</v>
      </c>
      <c r="M217" s="15">
        <v>6.22</v>
      </c>
      <c r="N217" s="15">
        <f t="shared" si="57"/>
        <v>5.0562700964630229</v>
      </c>
      <c r="O217" s="22"/>
      <c r="P217" s="22"/>
      <c r="Q217" s="22"/>
      <c r="R217" s="15"/>
      <c r="S217" s="15"/>
    </row>
    <row r="218" spans="1:19" x14ac:dyDescent="0.15">
      <c r="A218" s="22"/>
      <c r="B218" s="22"/>
      <c r="C218" s="22"/>
      <c r="D218" s="22"/>
      <c r="E218" s="22"/>
      <c r="F218" s="22"/>
      <c r="G218" s="41"/>
      <c r="H218" s="15">
        <v>11</v>
      </c>
      <c r="I218" s="15">
        <v>12</v>
      </c>
      <c r="J218" s="15">
        <f t="shared" si="60"/>
        <v>17</v>
      </c>
      <c r="K218" s="15">
        <f t="shared" si="60"/>
        <v>18</v>
      </c>
      <c r="L218" s="15">
        <v>-18.61</v>
      </c>
      <c r="M218" s="22">
        <v>6.21</v>
      </c>
      <c r="N218" s="15">
        <f t="shared" si="57"/>
        <v>2.9967793880837359</v>
      </c>
      <c r="O218" s="22"/>
      <c r="P218" s="22"/>
      <c r="Q218" s="22"/>
      <c r="R218" s="22"/>
      <c r="S218" s="22"/>
    </row>
    <row r="219" spans="1:19" x14ac:dyDescent="0.15">
      <c r="A219" s="22"/>
      <c r="B219" s="22"/>
      <c r="C219" s="22"/>
      <c r="D219" s="22"/>
      <c r="E219" s="22"/>
      <c r="F219" s="22"/>
      <c r="G219" s="41"/>
      <c r="H219" s="15">
        <v>11</v>
      </c>
      <c r="I219" s="15">
        <v>12</v>
      </c>
      <c r="J219" s="15">
        <f t="shared" si="60"/>
        <v>18</v>
      </c>
      <c r="K219" s="15">
        <f t="shared" si="60"/>
        <v>19</v>
      </c>
      <c r="L219" s="15">
        <v>-15.56</v>
      </c>
      <c r="M219" s="22">
        <v>5.9</v>
      </c>
      <c r="N219" s="15">
        <f t="shared" si="57"/>
        <v>2.6372881355932201</v>
      </c>
      <c r="O219" s="22"/>
      <c r="P219" s="22"/>
      <c r="Q219" s="22"/>
      <c r="R219" s="22"/>
      <c r="S219" s="22"/>
    </row>
    <row r="220" spans="1:19" x14ac:dyDescent="0.15">
      <c r="A220" s="22"/>
      <c r="B220" s="22"/>
      <c r="C220" s="22"/>
      <c r="D220" s="22"/>
      <c r="E220" s="22"/>
      <c r="F220" s="22"/>
      <c r="G220" s="41"/>
      <c r="H220" s="15">
        <v>11</v>
      </c>
      <c r="I220" s="15">
        <v>12</v>
      </c>
      <c r="J220" s="15">
        <f t="shared" si="60"/>
        <v>19</v>
      </c>
      <c r="K220" s="15">
        <f t="shared" si="60"/>
        <v>20</v>
      </c>
      <c r="L220" s="15">
        <v>-14.72</v>
      </c>
      <c r="M220" s="22">
        <v>6.11</v>
      </c>
      <c r="N220" s="15">
        <f t="shared" si="57"/>
        <v>2.4091653027823239</v>
      </c>
      <c r="O220" s="22"/>
      <c r="P220" s="22"/>
      <c r="Q220" s="22"/>
      <c r="R220" s="22"/>
      <c r="S220" s="22"/>
    </row>
    <row r="221" spans="1:19" x14ac:dyDescent="0.15">
      <c r="A221" s="22"/>
      <c r="B221" s="22"/>
      <c r="C221" s="22"/>
      <c r="D221" s="22"/>
      <c r="E221" s="22"/>
      <c r="F221" s="22"/>
      <c r="G221" s="41"/>
      <c r="H221" s="15">
        <v>11</v>
      </c>
      <c r="I221" s="15">
        <v>12</v>
      </c>
      <c r="J221" s="15">
        <f t="shared" si="60"/>
        <v>20</v>
      </c>
      <c r="K221" s="15">
        <f t="shared" si="60"/>
        <v>21</v>
      </c>
      <c r="L221" s="15">
        <v>-7.14</v>
      </c>
      <c r="M221" s="22">
        <v>5.0999999999999996</v>
      </c>
      <c r="N221" s="15">
        <f t="shared" si="57"/>
        <v>1.4000000000000001</v>
      </c>
      <c r="O221" s="22"/>
      <c r="P221" s="22"/>
      <c r="Q221" s="22"/>
      <c r="R221" s="22"/>
      <c r="S221" s="22"/>
    </row>
    <row r="222" spans="1:19" x14ac:dyDescent="0.15">
      <c r="A222" s="22"/>
      <c r="B222" s="22"/>
      <c r="C222" s="22"/>
      <c r="D222" s="22"/>
      <c r="E222" s="22"/>
      <c r="F222" s="22"/>
      <c r="G222" s="41"/>
      <c r="H222" s="15">
        <v>11</v>
      </c>
      <c r="I222" s="15">
        <v>12</v>
      </c>
      <c r="J222" s="15">
        <f t="shared" si="60"/>
        <v>21</v>
      </c>
      <c r="K222" s="15">
        <f t="shared" si="60"/>
        <v>22</v>
      </c>
      <c r="L222" s="15">
        <v>-9.52</v>
      </c>
      <c r="M222" s="22">
        <v>5.36</v>
      </c>
      <c r="N222" s="15">
        <f t="shared" si="57"/>
        <v>1.7761194029850744</v>
      </c>
      <c r="O222" s="22"/>
      <c r="P222" s="22"/>
      <c r="Q222" s="22"/>
      <c r="R222" s="22"/>
      <c r="S222" s="22"/>
    </row>
    <row r="223" spans="1:19" x14ac:dyDescent="0.15">
      <c r="A223" s="22"/>
      <c r="B223" s="22"/>
      <c r="C223" s="22"/>
      <c r="D223" s="22"/>
      <c r="E223" s="22"/>
      <c r="F223" s="22"/>
      <c r="G223" s="41"/>
      <c r="H223" s="15">
        <v>11</v>
      </c>
      <c r="I223" s="15">
        <v>12</v>
      </c>
      <c r="J223" s="15">
        <f t="shared" si="60"/>
        <v>22</v>
      </c>
      <c r="K223" s="15">
        <f t="shared" si="60"/>
        <v>23</v>
      </c>
      <c r="L223" s="15">
        <v>-14.54</v>
      </c>
      <c r="M223" s="22">
        <v>5.52</v>
      </c>
      <c r="N223" s="15">
        <f t="shared" si="57"/>
        <v>2.6340579710144927</v>
      </c>
      <c r="O223" s="22"/>
      <c r="P223" s="22"/>
      <c r="Q223" s="22"/>
      <c r="R223" s="22"/>
      <c r="S223" s="22"/>
    </row>
    <row r="224" spans="1:19" x14ac:dyDescent="0.15">
      <c r="A224" s="22"/>
      <c r="B224" s="22"/>
      <c r="C224" s="22"/>
      <c r="D224" s="22"/>
      <c r="E224" s="22"/>
      <c r="F224" s="22"/>
      <c r="G224" s="41"/>
      <c r="H224" s="15">
        <v>11</v>
      </c>
      <c r="I224" s="15">
        <v>12</v>
      </c>
      <c r="J224" s="15">
        <f t="shared" si="60"/>
        <v>23</v>
      </c>
      <c r="K224" s="15">
        <f t="shared" si="60"/>
        <v>24</v>
      </c>
      <c r="L224" s="15">
        <v>-8.1300000000000008</v>
      </c>
      <c r="M224" s="22">
        <v>6.83</v>
      </c>
      <c r="N224" s="15">
        <f t="shared" si="57"/>
        <v>1.1903367496339678</v>
      </c>
      <c r="O224" s="22"/>
      <c r="P224" s="22"/>
      <c r="Q224" s="22"/>
      <c r="R224" s="22"/>
      <c r="S224" s="22"/>
    </row>
    <row r="225" spans="1:19" x14ac:dyDescent="0.15">
      <c r="A225" s="22"/>
      <c r="B225" s="22"/>
      <c r="C225" s="22"/>
      <c r="D225" s="22"/>
      <c r="E225" s="22"/>
      <c r="F225" s="22"/>
      <c r="G225" s="41"/>
      <c r="H225" s="15">
        <v>11</v>
      </c>
      <c r="I225" s="15">
        <v>12</v>
      </c>
      <c r="J225" s="15">
        <f>J224+1</f>
        <v>24</v>
      </c>
      <c r="K225" s="15">
        <v>1</v>
      </c>
      <c r="L225" s="15">
        <v>-8.6199999999999992</v>
      </c>
      <c r="M225" s="22">
        <v>5.41</v>
      </c>
      <c r="N225" s="15">
        <f t="shared" si="57"/>
        <v>1.5933456561922363</v>
      </c>
      <c r="O225" s="22"/>
      <c r="P225" s="22"/>
      <c r="Q225" s="22"/>
      <c r="R225" s="22"/>
      <c r="S225" s="22"/>
    </row>
    <row r="226" spans="1:19" x14ac:dyDescent="0.15">
      <c r="A226" s="22"/>
      <c r="B226" s="22"/>
      <c r="C226" s="22"/>
      <c r="D226" s="22"/>
      <c r="E226" s="22"/>
      <c r="F226" s="22"/>
      <c r="G226" s="41"/>
      <c r="H226" s="15">
        <v>11</v>
      </c>
      <c r="I226" s="15">
        <v>12</v>
      </c>
      <c r="J226" s="15">
        <v>1</v>
      </c>
      <c r="K226" s="15">
        <f t="shared" ref="K226:K234" si="61">K225+1</f>
        <v>2</v>
      </c>
      <c r="L226" s="15">
        <v>-13.22</v>
      </c>
      <c r="M226" s="22">
        <v>5.65</v>
      </c>
      <c r="N226" s="15">
        <f t="shared" si="57"/>
        <v>2.3398230088495575</v>
      </c>
      <c r="O226" s="22"/>
      <c r="P226" s="22"/>
      <c r="Q226" s="22"/>
      <c r="R226" s="22"/>
      <c r="S226" s="22"/>
    </row>
    <row r="227" spans="1:19" x14ac:dyDescent="0.15">
      <c r="A227" s="22"/>
      <c r="B227" s="22"/>
      <c r="C227" s="22"/>
      <c r="D227" s="22"/>
      <c r="E227" s="22"/>
      <c r="F227" s="22"/>
      <c r="G227" s="41"/>
      <c r="H227" s="15">
        <v>11</v>
      </c>
      <c r="I227" s="15">
        <v>12</v>
      </c>
      <c r="J227" s="15">
        <f t="shared" ref="J227:J234" si="62">J226+1</f>
        <v>2</v>
      </c>
      <c r="K227" s="15">
        <f t="shared" si="61"/>
        <v>3</v>
      </c>
      <c r="L227" s="15">
        <v>-16.48</v>
      </c>
      <c r="M227" s="22">
        <v>6.7</v>
      </c>
      <c r="N227" s="15">
        <f t="shared" si="57"/>
        <v>2.4597014925373135</v>
      </c>
      <c r="O227" s="22"/>
      <c r="P227" s="22"/>
      <c r="Q227" s="22"/>
      <c r="R227" s="22"/>
      <c r="S227" s="22"/>
    </row>
    <row r="228" spans="1:19" x14ac:dyDescent="0.15">
      <c r="A228" s="22"/>
      <c r="B228" s="22"/>
      <c r="C228" s="22"/>
      <c r="D228" s="22"/>
      <c r="E228" s="22"/>
      <c r="F228" s="22"/>
      <c r="G228" s="41"/>
      <c r="H228" s="15">
        <v>11</v>
      </c>
      <c r="I228" s="15">
        <v>12</v>
      </c>
      <c r="J228" s="15">
        <f t="shared" si="62"/>
        <v>3</v>
      </c>
      <c r="K228" s="15">
        <f t="shared" si="61"/>
        <v>4</v>
      </c>
      <c r="L228" s="15">
        <v>-9.06</v>
      </c>
      <c r="M228" s="22">
        <v>5.83</v>
      </c>
      <c r="N228" s="15">
        <f t="shared" si="57"/>
        <v>1.5540308747855918</v>
      </c>
      <c r="O228" s="22"/>
      <c r="P228" s="22"/>
      <c r="Q228" s="22"/>
      <c r="R228" s="22"/>
      <c r="S228" s="22"/>
    </row>
    <row r="229" spans="1:19" x14ac:dyDescent="0.15">
      <c r="A229" s="22"/>
      <c r="B229" s="22"/>
      <c r="C229" s="22"/>
      <c r="D229" s="22"/>
      <c r="E229" s="22"/>
      <c r="F229" s="22"/>
      <c r="G229" s="41"/>
      <c r="H229" s="15">
        <v>11</v>
      </c>
      <c r="I229" s="15">
        <v>12</v>
      </c>
      <c r="J229" s="15">
        <f t="shared" si="62"/>
        <v>4</v>
      </c>
      <c r="K229" s="15">
        <f t="shared" si="61"/>
        <v>5</v>
      </c>
      <c r="L229" s="15">
        <v>-12.19</v>
      </c>
      <c r="M229" s="22">
        <v>5.98</v>
      </c>
      <c r="N229" s="15">
        <f t="shared" si="57"/>
        <v>2.0384615384615383</v>
      </c>
      <c r="O229" s="22"/>
      <c r="P229" s="22"/>
      <c r="Q229" s="22"/>
      <c r="R229" s="22"/>
      <c r="S229" s="22"/>
    </row>
    <row r="230" spans="1:19" x14ac:dyDescent="0.15">
      <c r="A230" s="22"/>
      <c r="B230" s="22"/>
      <c r="C230" s="22"/>
      <c r="D230" s="22"/>
      <c r="E230" s="22"/>
      <c r="F230" s="22"/>
      <c r="G230" s="41"/>
      <c r="H230" s="15">
        <v>11</v>
      </c>
      <c r="I230" s="15">
        <v>12</v>
      </c>
      <c r="J230" s="15">
        <f t="shared" si="62"/>
        <v>5</v>
      </c>
      <c r="K230" s="15">
        <f t="shared" si="61"/>
        <v>6</v>
      </c>
      <c r="L230" s="15">
        <v>-16.059999999999999</v>
      </c>
      <c r="M230" s="22">
        <v>5.85</v>
      </c>
      <c r="N230" s="15">
        <f t="shared" si="57"/>
        <v>2.7452991452991453</v>
      </c>
      <c r="O230" s="22"/>
      <c r="P230" s="22"/>
      <c r="Q230" s="22"/>
      <c r="R230" s="22"/>
      <c r="S230" s="22"/>
    </row>
    <row r="231" spans="1:19" x14ac:dyDescent="0.15">
      <c r="A231" s="22"/>
      <c r="B231" s="22"/>
      <c r="C231" s="22"/>
      <c r="D231" s="22"/>
      <c r="E231" s="22"/>
      <c r="F231" s="22"/>
      <c r="G231" s="41"/>
      <c r="H231" s="15">
        <v>11</v>
      </c>
      <c r="I231" s="15">
        <v>12</v>
      </c>
      <c r="J231" s="15">
        <f t="shared" si="62"/>
        <v>6</v>
      </c>
      <c r="K231" s="15">
        <f t="shared" si="61"/>
        <v>7</v>
      </c>
      <c r="L231" s="15">
        <v>-32.799999999999997</v>
      </c>
      <c r="M231" s="22">
        <v>6.03</v>
      </c>
      <c r="N231" s="15">
        <f t="shared" si="57"/>
        <v>5.4394693200663342</v>
      </c>
      <c r="O231" s="22"/>
      <c r="P231" s="22"/>
      <c r="Q231" s="22"/>
      <c r="R231" s="22"/>
      <c r="S231" s="22"/>
    </row>
    <row r="232" spans="1:19" x14ac:dyDescent="0.15">
      <c r="A232" s="22"/>
      <c r="B232" s="22"/>
      <c r="C232" s="22"/>
      <c r="D232" s="22"/>
      <c r="E232" s="22"/>
      <c r="F232" s="22"/>
      <c r="G232" s="41"/>
      <c r="H232" s="15">
        <v>11</v>
      </c>
      <c r="I232" s="15">
        <v>12</v>
      </c>
      <c r="J232" s="15">
        <f t="shared" si="62"/>
        <v>7</v>
      </c>
      <c r="K232" s="15">
        <f t="shared" si="61"/>
        <v>8</v>
      </c>
      <c r="L232" s="15">
        <v>-43.62</v>
      </c>
      <c r="M232" s="22">
        <v>5.89</v>
      </c>
      <c r="N232" s="15">
        <f t="shared" si="57"/>
        <v>7.4057724957555182</v>
      </c>
      <c r="O232" s="22"/>
      <c r="P232" s="22"/>
      <c r="Q232" s="22"/>
      <c r="R232" s="22"/>
      <c r="S232" s="22"/>
    </row>
    <row r="233" spans="1:19" x14ac:dyDescent="0.15">
      <c r="A233" s="22"/>
      <c r="B233" s="22"/>
      <c r="C233" s="22"/>
      <c r="D233" s="22"/>
      <c r="E233" s="22"/>
      <c r="F233" s="22"/>
      <c r="G233" s="41"/>
      <c r="H233" s="15">
        <v>11</v>
      </c>
      <c r="I233" s="15">
        <v>12</v>
      </c>
      <c r="J233" s="15">
        <f t="shared" si="62"/>
        <v>8</v>
      </c>
      <c r="K233" s="15">
        <f t="shared" si="61"/>
        <v>9</v>
      </c>
      <c r="L233" s="15">
        <v>-93.86</v>
      </c>
      <c r="M233" s="22">
        <v>5.51</v>
      </c>
      <c r="N233" s="15">
        <f t="shared" si="57"/>
        <v>17.03448275862069</v>
      </c>
      <c r="O233" s="22"/>
      <c r="P233" s="22"/>
      <c r="Q233" s="22"/>
      <c r="R233" s="22"/>
      <c r="S233" s="22"/>
    </row>
    <row r="234" spans="1:19" x14ac:dyDescent="0.15">
      <c r="A234" s="22"/>
      <c r="B234" s="22"/>
      <c r="C234" s="22"/>
      <c r="D234" s="22"/>
      <c r="E234" s="22"/>
      <c r="F234" s="22"/>
      <c r="G234" s="41"/>
      <c r="H234" s="15">
        <v>11</v>
      </c>
      <c r="I234" s="15">
        <v>12</v>
      </c>
      <c r="J234" s="15">
        <f t="shared" si="62"/>
        <v>9</v>
      </c>
      <c r="K234" s="15">
        <f t="shared" si="61"/>
        <v>10</v>
      </c>
      <c r="L234" s="15">
        <v>-396.2</v>
      </c>
      <c r="M234" s="22">
        <v>5.79</v>
      </c>
      <c r="N234" s="15">
        <f t="shared" si="57"/>
        <v>68.428324697754746</v>
      </c>
      <c r="O234" s="22"/>
      <c r="P234" s="22"/>
      <c r="Q234" s="22"/>
      <c r="R234" s="22"/>
      <c r="S234" s="22"/>
    </row>
    <row r="235" spans="1:19" x14ac:dyDescent="0.15">
      <c r="A235" s="22"/>
      <c r="B235" s="22"/>
      <c r="C235" s="22"/>
      <c r="D235" s="22"/>
      <c r="E235" s="22"/>
      <c r="F235" s="22"/>
      <c r="G235" s="41"/>
      <c r="H235" s="15">
        <v>12</v>
      </c>
      <c r="I235" s="15">
        <v>13</v>
      </c>
      <c r="J235" s="15">
        <f>I235+1</f>
        <v>14</v>
      </c>
      <c r="K235" s="15">
        <f>J235+1</f>
        <v>15</v>
      </c>
      <c r="L235" s="15">
        <v>-634.51</v>
      </c>
      <c r="M235" s="22">
        <v>9.9499999999999993</v>
      </c>
      <c r="N235" s="15">
        <f t="shared" si="57"/>
        <v>63.769849246231161</v>
      </c>
      <c r="O235" s="22"/>
      <c r="P235" s="22"/>
      <c r="Q235" s="22"/>
      <c r="R235" s="22"/>
      <c r="S235" s="22"/>
    </row>
    <row r="236" spans="1:19" x14ac:dyDescent="0.15">
      <c r="A236" s="22"/>
      <c r="B236" s="22"/>
      <c r="C236" s="22"/>
      <c r="D236" s="22"/>
      <c r="E236" s="22"/>
      <c r="F236" s="22"/>
      <c r="G236" s="41"/>
      <c r="H236" s="15">
        <v>12</v>
      </c>
      <c r="I236" s="15">
        <v>13</v>
      </c>
      <c r="J236" s="15">
        <f t="shared" ref="J236:K244" si="63">J235+1</f>
        <v>15</v>
      </c>
      <c r="K236" s="15">
        <f t="shared" si="63"/>
        <v>16</v>
      </c>
      <c r="L236" s="15">
        <v>-176.72</v>
      </c>
      <c r="M236" s="22">
        <v>10.1</v>
      </c>
      <c r="N236" s="15">
        <f t="shared" si="57"/>
        <v>17.497029702970298</v>
      </c>
      <c r="O236" s="22"/>
      <c r="P236" s="22"/>
      <c r="Q236" s="22"/>
      <c r="R236" s="22"/>
      <c r="S236" s="22"/>
    </row>
    <row r="237" spans="1:19" x14ac:dyDescent="0.15">
      <c r="A237" s="22"/>
      <c r="B237" s="22"/>
      <c r="C237" s="22"/>
      <c r="D237" s="22"/>
      <c r="E237" s="22"/>
      <c r="F237" s="22"/>
      <c r="G237" s="41"/>
      <c r="H237" s="15">
        <v>12</v>
      </c>
      <c r="I237" s="15">
        <v>13</v>
      </c>
      <c r="J237" s="15">
        <f t="shared" si="63"/>
        <v>16</v>
      </c>
      <c r="K237" s="15">
        <f t="shared" si="63"/>
        <v>17</v>
      </c>
      <c r="L237" s="15">
        <v>-60.15</v>
      </c>
      <c r="M237" s="22">
        <v>9.98</v>
      </c>
      <c r="N237" s="15">
        <f t="shared" si="57"/>
        <v>6.0270541082164328</v>
      </c>
      <c r="O237" s="22"/>
      <c r="P237" s="22"/>
      <c r="Q237" s="22"/>
      <c r="R237" s="22"/>
      <c r="S237" s="22"/>
    </row>
    <row r="238" spans="1:19" x14ac:dyDescent="0.15">
      <c r="A238" s="22"/>
      <c r="B238" s="22"/>
      <c r="C238" s="22"/>
      <c r="D238" s="22"/>
      <c r="E238" s="22"/>
      <c r="F238" s="22"/>
      <c r="G238" s="41"/>
      <c r="H238" s="15">
        <v>12</v>
      </c>
      <c r="I238" s="15">
        <v>13</v>
      </c>
      <c r="J238" s="15">
        <f t="shared" si="63"/>
        <v>17</v>
      </c>
      <c r="K238" s="15">
        <f t="shared" si="63"/>
        <v>18</v>
      </c>
      <c r="L238" s="15">
        <v>-37.58</v>
      </c>
      <c r="M238" s="22">
        <v>10</v>
      </c>
      <c r="N238" s="15">
        <f t="shared" si="57"/>
        <v>3.758</v>
      </c>
      <c r="O238" s="22"/>
      <c r="P238" s="22"/>
      <c r="Q238" s="22"/>
      <c r="R238" s="22"/>
      <c r="S238" s="22"/>
    </row>
    <row r="239" spans="1:19" x14ac:dyDescent="0.15">
      <c r="A239" s="22"/>
      <c r="B239" s="22"/>
      <c r="C239" s="22"/>
      <c r="D239" s="22"/>
      <c r="E239" s="22"/>
      <c r="F239" s="22"/>
      <c r="G239" s="41"/>
      <c r="H239" s="15">
        <v>12</v>
      </c>
      <c r="I239" s="15">
        <v>13</v>
      </c>
      <c r="J239" s="15">
        <f t="shared" si="63"/>
        <v>18</v>
      </c>
      <c r="K239" s="15">
        <f t="shared" si="63"/>
        <v>19</v>
      </c>
      <c r="L239" s="15">
        <v>-27.39</v>
      </c>
      <c r="M239" s="22">
        <v>9.98</v>
      </c>
      <c r="N239" s="15">
        <f t="shared" si="57"/>
        <v>2.7444889779559118</v>
      </c>
      <c r="O239" s="22"/>
      <c r="P239" s="22"/>
      <c r="Q239" s="22"/>
      <c r="R239" s="22"/>
      <c r="S239" s="22"/>
    </row>
    <row r="240" spans="1:19" x14ac:dyDescent="0.15">
      <c r="A240" s="22"/>
      <c r="B240" s="22"/>
      <c r="C240" s="22"/>
      <c r="D240" s="22"/>
      <c r="E240" s="22"/>
      <c r="F240" s="22"/>
      <c r="G240" s="41"/>
      <c r="H240" s="15">
        <v>12</v>
      </c>
      <c r="I240" s="15">
        <v>13</v>
      </c>
      <c r="J240" s="15">
        <f t="shared" si="63"/>
        <v>19</v>
      </c>
      <c r="K240" s="15">
        <f t="shared" si="63"/>
        <v>20</v>
      </c>
      <c r="L240" s="15">
        <v>-17.809999999999999</v>
      </c>
      <c r="M240" s="22">
        <v>9.65</v>
      </c>
      <c r="N240" s="15">
        <f t="shared" si="57"/>
        <v>1.8455958549222795</v>
      </c>
      <c r="O240" s="22"/>
      <c r="P240" s="22"/>
      <c r="Q240" s="22"/>
      <c r="R240" s="22"/>
      <c r="S240" s="22"/>
    </row>
    <row r="241" spans="1:19" x14ac:dyDescent="0.15">
      <c r="A241" s="22"/>
      <c r="B241" s="22"/>
      <c r="C241" s="22"/>
      <c r="D241" s="22"/>
      <c r="E241" s="22"/>
      <c r="F241" s="22"/>
      <c r="G241" s="41"/>
      <c r="H241" s="15">
        <v>12</v>
      </c>
      <c r="I241" s="15">
        <v>13</v>
      </c>
      <c r="J241" s="15">
        <f t="shared" si="63"/>
        <v>20</v>
      </c>
      <c r="K241" s="15">
        <f t="shared" si="63"/>
        <v>21</v>
      </c>
      <c r="L241" s="15">
        <v>-14.12</v>
      </c>
      <c r="M241" s="22">
        <v>9.26</v>
      </c>
      <c r="N241" s="15">
        <f t="shared" si="57"/>
        <v>1.5248380129589632</v>
      </c>
      <c r="O241" s="22"/>
      <c r="P241" s="22"/>
      <c r="Q241" s="22"/>
      <c r="R241" s="22"/>
      <c r="S241" s="22"/>
    </row>
    <row r="242" spans="1:19" x14ac:dyDescent="0.15">
      <c r="A242" s="22"/>
      <c r="B242" s="22"/>
      <c r="C242" s="22"/>
      <c r="D242" s="22"/>
      <c r="E242" s="22"/>
      <c r="F242" s="22"/>
      <c r="G242" s="41"/>
      <c r="H242" s="15">
        <v>12</v>
      </c>
      <c r="I242" s="15">
        <v>13</v>
      </c>
      <c r="J242" s="15">
        <f t="shared" si="63"/>
        <v>21</v>
      </c>
      <c r="K242" s="15">
        <f t="shared" si="63"/>
        <v>22</v>
      </c>
      <c r="L242" s="15">
        <v>-12.61</v>
      </c>
      <c r="M242" s="22">
        <v>9.1199999999999992</v>
      </c>
      <c r="N242" s="15">
        <f t="shared" si="57"/>
        <v>1.3826754385964912</v>
      </c>
      <c r="O242" s="22"/>
      <c r="P242" s="22"/>
      <c r="Q242" s="22"/>
      <c r="R242" s="22"/>
      <c r="S242" s="22"/>
    </row>
    <row r="243" spans="1:19" x14ac:dyDescent="0.15">
      <c r="A243" s="22"/>
      <c r="B243" s="22"/>
      <c r="C243" s="22"/>
      <c r="D243" s="22"/>
      <c r="E243" s="22"/>
      <c r="F243" s="22"/>
      <c r="G243" s="41"/>
      <c r="H243" s="15">
        <v>12</v>
      </c>
      <c r="I243" s="15">
        <v>13</v>
      </c>
      <c r="J243" s="15">
        <f t="shared" si="63"/>
        <v>22</v>
      </c>
      <c r="K243" s="15">
        <f t="shared" si="63"/>
        <v>23</v>
      </c>
      <c r="L243" s="15">
        <v>-9.14</v>
      </c>
      <c r="M243" s="22">
        <v>9.24</v>
      </c>
      <c r="N243" s="15">
        <f t="shared" si="57"/>
        <v>0.98917748917748927</v>
      </c>
      <c r="O243" s="22"/>
      <c r="P243" s="22"/>
      <c r="Q243" s="22"/>
      <c r="R243" s="22"/>
      <c r="S243" s="22"/>
    </row>
    <row r="244" spans="1:19" x14ac:dyDescent="0.15">
      <c r="A244" s="22"/>
      <c r="B244" s="22"/>
      <c r="C244" s="22"/>
      <c r="D244" s="22"/>
      <c r="E244" s="22"/>
      <c r="F244" s="22"/>
      <c r="G244" s="41"/>
      <c r="H244" s="15">
        <v>12</v>
      </c>
      <c r="I244" s="15">
        <v>13</v>
      </c>
      <c r="J244" s="15">
        <f t="shared" si="63"/>
        <v>23</v>
      </c>
      <c r="K244" s="15">
        <f t="shared" si="63"/>
        <v>24</v>
      </c>
      <c r="L244" s="15">
        <v>-10.25</v>
      </c>
      <c r="M244" s="22">
        <v>9.27</v>
      </c>
      <c r="N244" s="15">
        <f t="shared" si="57"/>
        <v>1.1057173678532903</v>
      </c>
      <c r="O244" s="22"/>
      <c r="P244" s="22"/>
      <c r="Q244" s="22"/>
      <c r="R244" s="22"/>
      <c r="S244" s="22"/>
    </row>
    <row r="245" spans="1:19" x14ac:dyDescent="0.15">
      <c r="A245" s="22"/>
      <c r="B245" s="22"/>
      <c r="C245" s="22"/>
      <c r="D245" s="22"/>
      <c r="E245" s="22"/>
      <c r="F245" s="22"/>
      <c r="G245" s="41"/>
      <c r="H245" s="15">
        <v>12</v>
      </c>
      <c r="I245" s="15">
        <v>13</v>
      </c>
      <c r="J245" s="15">
        <f>J244+1</f>
        <v>24</v>
      </c>
      <c r="K245" s="15">
        <v>1</v>
      </c>
      <c r="L245" s="15">
        <v>-11.89</v>
      </c>
      <c r="M245" s="22">
        <v>9.3699999999999992</v>
      </c>
      <c r="N245" s="15">
        <f t="shared" si="57"/>
        <v>1.2689434364994665</v>
      </c>
      <c r="O245" s="22"/>
      <c r="P245" s="22"/>
      <c r="Q245" s="22"/>
      <c r="R245" s="22"/>
      <c r="S245" s="22"/>
    </row>
    <row r="246" spans="1:19" x14ac:dyDescent="0.15">
      <c r="A246" s="22"/>
      <c r="B246" s="22"/>
      <c r="C246" s="22"/>
      <c r="D246" s="22"/>
      <c r="E246" s="22"/>
      <c r="F246" s="22"/>
      <c r="G246" s="41"/>
      <c r="H246" s="15">
        <v>12</v>
      </c>
      <c r="I246" s="15">
        <v>13</v>
      </c>
      <c r="J246" s="15">
        <v>1</v>
      </c>
      <c r="K246" s="15">
        <f t="shared" ref="K246:K255" si="64">K245+1</f>
        <v>2</v>
      </c>
      <c r="L246" s="15">
        <v>-12.07</v>
      </c>
      <c r="M246" s="22">
        <v>10.1</v>
      </c>
      <c r="N246" s="15">
        <f t="shared" si="57"/>
        <v>1.1950495049504952</v>
      </c>
      <c r="O246" s="22"/>
      <c r="P246" s="22"/>
      <c r="Q246" s="22"/>
      <c r="R246" s="22"/>
      <c r="S246" s="22"/>
    </row>
    <row r="247" spans="1:19" x14ac:dyDescent="0.15">
      <c r="A247" s="22"/>
      <c r="B247" s="22"/>
      <c r="C247" s="22"/>
      <c r="D247" s="22"/>
      <c r="E247" s="22"/>
      <c r="F247" s="22"/>
      <c r="G247" s="41"/>
      <c r="H247" s="15">
        <v>12</v>
      </c>
      <c r="I247" s="15">
        <v>13</v>
      </c>
      <c r="J247" s="15">
        <f t="shared" ref="J247:J255" si="65">J246+1</f>
        <v>2</v>
      </c>
      <c r="K247" s="15">
        <f t="shared" si="64"/>
        <v>3</v>
      </c>
      <c r="L247" s="15">
        <v>-10.58</v>
      </c>
      <c r="M247" s="22">
        <v>10.050000000000001</v>
      </c>
      <c r="N247" s="15">
        <f t="shared" si="57"/>
        <v>1.0527363184079601</v>
      </c>
      <c r="O247" s="22"/>
      <c r="P247" s="22"/>
      <c r="Q247" s="22"/>
      <c r="R247" s="22"/>
      <c r="S247" s="22"/>
    </row>
    <row r="248" spans="1:19" x14ac:dyDescent="0.15">
      <c r="A248" s="22"/>
      <c r="B248" s="22"/>
      <c r="C248" s="22"/>
      <c r="D248" s="22"/>
      <c r="E248" s="22"/>
      <c r="F248" s="22"/>
      <c r="G248" s="41"/>
      <c r="H248" s="15">
        <v>12</v>
      </c>
      <c r="I248" s="15">
        <v>13</v>
      </c>
      <c r="J248" s="15">
        <f t="shared" si="65"/>
        <v>3</v>
      </c>
      <c r="K248" s="15">
        <f t="shared" si="64"/>
        <v>4</v>
      </c>
      <c r="L248" s="15">
        <v>-13.98</v>
      </c>
      <c r="M248" s="22">
        <v>9.91</v>
      </c>
      <c r="N248" s="15">
        <f t="shared" si="57"/>
        <v>1.4106962663975782</v>
      </c>
      <c r="O248" s="22"/>
      <c r="P248" s="22"/>
      <c r="Q248" s="22"/>
      <c r="R248" s="22"/>
      <c r="S248" s="22"/>
    </row>
    <row r="249" spans="1:19" x14ac:dyDescent="0.15">
      <c r="A249" s="22"/>
      <c r="B249" s="22"/>
      <c r="C249" s="22"/>
      <c r="D249" s="22"/>
      <c r="E249" s="22"/>
      <c r="F249" s="22"/>
      <c r="G249" s="41"/>
      <c r="H249" s="15">
        <v>12</v>
      </c>
      <c r="I249" s="15">
        <v>13</v>
      </c>
      <c r="J249" s="15">
        <f t="shared" si="65"/>
        <v>4</v>
      </c>
      <c r="K249" s="15">
        <f t="shared" si="64"/>
        <v>5</v>
      </c>
      <c r="L249" s="15">
        <v>-17.010000000000002</v>
      </c>
      <c r="M249" s="22">
        <v>10.32</v>
      </c>
      <c r="N249" s="15">
        <f t="shared" si="57"/>
        <v>1.6482558139534884</v>
      </c>
      <c r="O249" s="22"/>
      <c r="P249" s="22"/>
      <c r="Q249" s="22"/>
      <c r="R249" s="22"/>
      <c r="S249" s="22"/>
    </row>
    <row r="250" spans="1:19" x14ac:dyDescent="0.15">
      <c r="A250" s="22"/>
      <c r="B250" s="22"/>
      <c r="C250" s="22"/>
      <c r="D250" s="22"/>
      <c r="E250" s="22"/>
      <c r="F250" s="22"/>
      <c r="G250" s="41"/>
      <c r="H250" s="15">
        <v>12</v>
      </c>
      <c r="I250" s="15">
        <v>13</v>
      </c>
      <c r="J250" s="15">
        <f t="shared" si="65"/>
        <v>5</v>
      </c>
      <c r="K250" s="15">
        <f t="shared" si="64"/>
        <v>6</v>
      </c>
      <c r="L250" s="15">
        <v>-19.399999999999999</v>
      </c>
      <c r="M250" s="22">
        <v>10.220000000000001</v>
      </c>
      <c r="N250" s="15">
        <f t="shared" si="57"/>
        <v>1.8982387475538158</v>
      </c>
      <c r="O250" s="22"/>
      <c r="P250" s="22"/>
      <c r="Q250" s="22"/>
      <c r="R250" s="22"/>
      <c r="S250" s="22"/>
    </row>
    <row r="251" spans="1:19" x14ac:dyDescent="0.15">
      <c r="A251" s="22"/>
      <c r="B251" s="22"/>
      <c r="C251" s="22"/>
      <c r="D251" s="22"/>
      <c r="E251" s="22"/>
      <c r="F251" s="22"/>
      <c r="G251" s="41"/>
      <c r="H251" s="15">
        <v>12</v>
      </c>
      <c r="I251" s="15">
        <v>13</v>
      </c>
      <c r="J251" s="15">
        <f t="shared" si="65"/>
        <v>6</v>
      </c>
      <c r="K251" s="15">
        <f t="shared" si="64"/>
        <v>7</v>
      </c>
      <c r="L251" s="15">
        <v>-24.65</v>
      </c>
      <c r="M251" s="22">
        <v>10.11</v>
      </c>
      <c r="N251" s="15">
        <f t="shared" si="57"/>
        <v>2.4381800197823935</v>
      </c>
      <c r="O251" s="22"/>
      <c r="P251" s="22"/>
      <c r="Q251" s="22"/>
      <c r="R251" s="22"/>
      <c r="S251" s="22"/>
    </row>
    <row r="252" spans="1:19" x14ac:dyDescent="0.15">
      <c r="A252" s="22"/>
      <c r="B252" s="22"/>
      <c r="C252" s="22"/>
      <c r="D252" s="22"/>
      <c r="E252" s="22"/>
      <c r="F252" s="22"/>
      <c r="G252" s="41"/>
      <c r="H252" s="15">
        <v>12</v>
      </c>
      <c r="I252" s="15">
        <v>13</v>
      </c>
      <c r="J252" s="15">
        <f t="shared" si="65"/>
        <v>7</v>
      </c>
      <c r="K252" s="15">
        <f t="shared" si="64"/>
        <v>8</v>
      </c>
      <c r="L252" s="15">
        <v>-41</v>
      </c>
      <c r="M252" s="22">
        <v>10.37</v>
      </c>
      <c r="N252" s="15">
        <f t="shared" si="57"/>
        <v>3.9537126325940215</v>
      </c>
      <c r="O252" s="22"/>
      <c r="P252" s="22"/>
      <c r="Q252" s="22"/>
      <c r="R252" s="22"/>
      <c r="S252" s="22"/>
    </row>
    <row r="253" spans="1:19" x14ac:dyDescent="0.15">
      <c r="A253" s="22"/>
      <c r="B253" s="22"/>
      <c r="C253" s="22"/>
      <c r="D253" s="22"/>
      <c r="E253" s="22"/>
      <c r="F253" s="22"/>
      <c r="G253" s="41"/>
      <c r="H253" s="15">
        <v>12</v>
      </c>
      <c r="I253" s="15">
        <v>13</v>
      </c>
      <c r="J253" s="15">
        <f t="shared" si="65"/>
        <v>8</v>
      </c>
      <c r="K253" s="15">
        <f t="shared" si="64"/>
        <v>9</v>
      </c>
      <c r="L253" s="15">
        <v>-73.47</v>
      </c>
      <c r="M253" s="22">
        <v>10.35</v>
      </c>
      <c r="N253" s="15">
        <f t="shared" si="57"/>
        <v>7.0985507246376809</v>
      </c>
      <c r="O253" s="22"/>
      <c r="P253" s="22"/>
      <c r="Q253" s="22"/>
      <c r="R253" s="22"/>
      <c r="S253" s="22"/>
    </row>
    <row r="254" spans="1:19" x14ac:dyDescent="0.15">
      <c r="A254" s="22"/>
      <c r="B254" s="22"/>
      <c r="C254" s="22"/>
      <c r="D254" s="22"/>
      <c r="E254" s="22"/>
      <c r="F254" s="22"/>
      <c r="G254" s="41"/>
      <c r="H254" s="15">
        <v>12</v>
      </c>
      <c r="I254" s="15">
        <v>13</v>
      </c>
      <c r="J254" s="15">
        <f t="shared" si="65"/>
        <v>9</v>
      </c>
      <c r="K254" s="15">
        <f t="shared" si="64"/>
        <v>10</v>
      </c>
      <c r="L254" s="15">
        <v>-180.71</v>
      </c>
      <c r="M254" s="22">
        <v>10.17</v>
      </c>
      <c r="N254" s="15">
        <f t="shared" si="57"/>
        <v>17.768928220255656</v>
      </c>
      <c r="O254" s="22"/>
      <c r="P254" s="22"/>
      <c r="Q254" s="22"/>
      <c r="R254" s="22"/>
      <c r="S254" s="22"/>
    </row>
    <row r="255" spans="1:19" x14ac:dyDescent="0.15">
      <c r="A255" s="22"/>
      <c r="B255" s="22"/>
      <c r="C255" s="22"/>
      <c r="D255" s="22"/>
      <c r="E255" s="22"/>
      <c r="F255" s="22"/>
      <c r="G255" s="41"/>
      <c r="H255" s="15">
        <v>12</v>
      </c>
      <c r="I255" s="15">
        <v>13</v>
      </c>
      <c r="J255" s="15">
        <f t="shared" si="65"/>
        <v>10</v>
      </c>
      <c r="K255" s="15">
        <f t="shared" si="64"/>
        <v>11</v>
      </c>
      <c r="L255" s="15">
        <v>-634.85</v>
      </c>
      <c r="M255" s="22">
        <v>10.07</v>
      </c>
      <c r="N255" s="15">
        <f t="shared" si="57"/>
        <v>63.043694141012907</v>
      </c>
      <c r="O255" s="22"/>
      <c r="P255" s="22"/>
      <c r="Q255" s="22"/>
      <c r="R255" s="22"/>
      <c r="S255" s="22"/>
    </row>
    <row r="256" spans="1:19" x14ac:dyDescent="0.15">
      <c r="A256" s="22"/>
      <c r="B256" s="22"/>
      <c r="C256" s="22"/>
      <c r="D256" s="22"/>
      <c r="E256" s="22"/>
      <c r="F256" s="22"/>
      <c r="G256" s="41"/>
      <c r="H256" s="15">
        <v>13</v>
      </c>
      <c r="I256" s="15">
        <v>14</v>
      </c>
      <c r="J256" s="15">
        <f>I256+1</f>
        <v>15</v>
      </c>
      <c r="K256" s="15">
        <f>J256+1</f>
        <v>16</v>
      </c>
      <c r="L256" s="15">
        <v>-569.85</v>
      </c>
      <c r="M256" s="22">
        <v>7.93</v>
      </c>
      <c r="N256" s="15">
        <f t="shared" si="57"/>
        <v>71.860025220680967</v>
      </c>
      <c r="O256" s="22"/>
      <c r="P256" s="22"/>
      <c r="Q256" s="22"/>
      <c r="R256" s="22"/>
      <c r="S256" s="22"/>
    </row>
    <row r="257" spans="1:19" x14ac:dyDescent="0.15">
      <c r="A257" s="22"/>
      <c r="B257" s="22"/>
      <c r="C257" s="22"/>
      <c r="D257" s="22"/>
      <c r="E257" s="22"/>
      <c r="F257" s="22"/>
      <c r="G257" s="41"/>
      <c r="H257" s="15">
        <v>13</v>
      </c>
      <c r="I257" s="15">
        <v>14</v>
      </c>
      <c r="J257" s="15">
        <f t="shared" ref="J257:K264" si="66">J256+1</f>
        <v>16</v>
      </c>
      <c r="K257" s="15">
        <f t="shared" si="66"/>
        <v>17</v>
      </c>
      <c r="L257" s="15">
        <v>-135.63999999999999</v>
      </c>
      <c r="M257" s="22">
        <v>8.17</v>
      </c>
      <c r="N257" s="15">
        <f t="shared" si="57"/>
        <v>16.602203182374538</v>
      </c>
      <c r="O257" s="22"/>
      <c r="P257" s="22"/>
      <c r="Q257" s="22"/>
      <c r="R257" s="22"/>
      <c r="S257" s="22"/>
    </row>
    <row r="258" spans="1:19" x14ac:dyDescent="0.15">
      <c r="A258" s="22"/>
      <c r="B258" s="22"/>
      <c r="C258" s="22"/>
      <c r="D258" s="22"/>
      <c r="E258" s="22"/>
      <c r="F258" s="22"/>
      <c r="G258" s="41"/>
      <c r="H258" s="15">
        <v>13</v>
      </c>
      <c r="I258" s="15">
        <v>14</v>
      </c>
      <c r="J258" s="15">
        <f t="shared" si="66"/>
        <v>17</v>
      </c>
      <c r="K258" s="15">
        <f t="shared" si="66"/>
        <v>18</v>
      </c>
      <c r="L258" s="15">
        <v>-56.65</v>
      </c>
      <c r="M258" s="22">
        <v>8.1</v>
      </c>
      <c r="N258" s="15">
        <f t="shared" si="57"/>
        <v>6.9938271604938276</v>
      </c>
      <c r="O258" s="22"/>
      <c r="P258" s="22"/>
      <c r="Q258" s="22"/>
      <c r="R258" s="22"/>
      <c r="S258" s="22"/>
    </row>
    <row r="259" spans="1:19" x14ac:dyDescent="0.15">
      <c r="A259" s="22"/>
      <c r="B259" s="22"/>
      <c r="C259" s="22"/>
      <c r="D259" s="22"/>
      <c r="E259" s="22"/>
      <c r="F259" s="22"/>
      <c r="G259" s="41"/>
      <c r="H259" s="15">
        <v>13</v>
      </c>
      <c r="I259" s="15">
        <v>14</v>
      </c>
      <c r="J259" s="15">
        <f t="shared" si="66"/>
        <v>18</v>
      </c>
      <c r="K259" s="15">
        <f t="shared" si="66"/>
        <v>19</v>
      </c>
      <c r="L259" s="15">
        <v>-35</v>
      </c>
      <c r="M259" s="22">
        <v>8.0399999999999991</v>
      </c>
      <c r="N259" s="15">
        <f t="shared" si="57"/>
        <v>4.3532338308457712</v>
      </c>
      <c r="O259" s="22"/>
      <c r="P259" s="22"/>
      <c r="Q259" s="22"/>
      <c r="R259" s="22"/>
      <c r="S259" s="22"/>
    </row>
    <row r="260" spans="1:19" x14ac:dyDescent="0.15">
      <c r="A260" s="22"/>
      <c r="B260" s="22"/>
      <c r="C260" s="22"/>
      <c r="D260" s="22"/>
      <c r="E260" s="22"/>
      <c r="F260" s="22"/>
      <c r="G260" s="41"/>
      <c r="H260" s="15">
        <v>13</v>
      </c>
      <c r="I260" s="15">
        <v>14</v>
      </c>
      <c r="J260" s="15">
        <f t="shared" si="66"/>
        <v>19</v>
      </c>
      <c r="K260" s="15">
        <f t="shared" si="66"/>
        <v>20</v>
      </c>
      <c r="L260" s="15">
        <v>-19.600000000000001</v>
      </c>
      <c r="M260" s="22">
        <v>7.77</v>
      </c>
      <c r="N260" s="15">
        <f t="shared" si="57"/>
        <v>2.522522522522523</v>
      </c>
      <c r="O260" s="22"/>
      <c r="P260" s="22"/>
      <c r="Q260" s="22"/>
      <c r="R260" s="22"/>
      <c r="S260" s="22"/>
    </row>
    <row r="261" spans="1:19" x14ac:dyDescent="0.15">
      <c r="A261" s="22"/>
      <c r="B261" s="22"/>
      <c r="C261" s="22"/>
      <c r="D261" s="22"/>
      <c r="E261" s="22"/>
      <c r="F261" s="22"/>
      <c r="G261" s="41"/>
      <c r="H261" s="15">
        <v>13</v>
      </c>
      <c r="I261" s="15">
        <v>14</v>
      </c>
      <c r="J261" s="15">
        <f t="shared" si="66"/>
        <v>20</v>
      </c>
      <c r="K261" s="15">
        <f t="shared" si="66"/>
        <v>21</v>
      </c>
      <c r="L261" s="15">
        <v>-13.81</v>
      </c>
      <c r="M261" s="22">
        <v>7.24</v>
      </c>
      <c r="N261" s="15">
        <f t="shared" ref="N261:N324" si="67">-L261/M261</f>
        <v>1.9074585635359116</v>
      </c>
      <c r="O261" s="22"/>
      <c r="P261" s="22"/>
      <c r="Q261" s="22"/>
      <c r="R261" s="22"/>
      <c r="S261" s="22"/>
    </row>
    <row r="262" spans="1:19" x14ac:dyDescent="0.15">
      <c r="A262" s="22"/>
      <c r="B262" s="22"/>
      <c r="C262" s="22"/>
      <c r="D262" s="22"/>
      <c r="E262" s="22"/>
      <c r="F262" s="22"/>
      <c r="G262" s="41"/>
      <c r="H262" s="15">
        <v>13</v>
      </c>
      <c r="I262" s="15">
        <v>14</v>
      </c>
      <c r="J262" s="15">
        <f t="shared" si="66"/>
        <v>21</v>
      </c>
      <c r="K262" s="15">
        <f t="shared" si="66"/>
        <v>22</v>
      </c>
      <c r="L262" s="15">
        <v>-12.63</v>
      </c>
      <c r="M262" s="22">
        <v>7.41</v>
      </c>
      <c r="N262" s="15">
        <f t="shared" si="67"/>
        <v>1.7044534412955465</v>
      </c>
      <c r="O262" s="22"/>
      <c r="P262" s="22"/>
      <c r="Q262" s="22"/>
      <c r="R262" s="22"/>
      <c r="S262" s="22"/>
    </row>
    <row r="263" spans="1:19" x14ac:dyDescent="0.15">
      <c r="A263" s="22"/>
      <c r="B263" s="22"/>
      <c r="C263" s="22"/>
      <c r="D263" s="22"/>
      <c r="E263" s="22"/>
      <c r="F263" s="22"/>
      <c r="G263" s="41"/>
      <c r="H263" s="15">
        <v>13</v>
      </c>
      <c r="I263" s="15">
        <v>14</v>
      </c>
      <c r="J263" s="15">
        <f t="shared" si="66"/>
        <v>22</v>
      </c>
      <c r="K263" s="15">
        <f t="shared" si="66"/>
        <v>23</v>
      </c>
      <c r="L263" s="15">
        <v>-11.04</v>
      </c>
      <c r="M263" s="22">
        <v>7.45</v>
      </c>
      <c r="N263" s="15">
        <f t="shared" si="67"/>
        <v>1.4818791946308723</v>
      </c>
      <c r="O263" s="22"/>
      <c r="P263" s="22"/>
      <c r="Q263" s="22"/>
      <c r="R263" s="22"/>
      <c r="S263" s="22"/>
    </row>
    <row r="264" spans="1:19" x14ac:dyDescent="0.15">
      <c r="A264" s="22"/>
      <c r="B264" s="22"/>
      <c r="C264" s="22"/>
      <c r="D264" s="22"/>
      <c r="E264" s="22"/>
      <c r="F264" s="22"/>
      <c r="G264" s="41"/>
      <c r="H264" s="15">
        <v>13</v>
      </c>
      <c r="I264" s="15">
        <v>14</v>
      </c>
      <c r="J264" s="15">
        <f t="shared" si="66"/>
        <v>23</v>
      </c>
      <c r="K264" s="15">
        <f t="shared" si="66"/>
        <v>24</v>
      </c>
      <c r="L264" s="15">
        <v>-9.11</v>
      </c>
      <c r="M264" s="22">
        <v>7.4</v>
      </c>
      <c r="N264" s="15">
        <f t="shared" si="67"/>
        <v>1.2310810810810811</v>
      </c>
      <c r="O264" s="22"/>
      <c r="P264" s="22"/>
      <c r="Q264" s="22"/>
      <c r="R264" s="22"/>
      <c r="S264" s="22"/>
    </row>
    <row r="265" spans="1:19" x14ac:dyDescent="0.15">
      <c r="A265" s="22"/>
      <c r="B265" s="22"/>
      <c r="C265" s="22"/>
      <c r="D265" s="22"/>
      <c r="E265" s="22"/>
      <c r="F265" s="22"/>
      <c r="G265" s="41"/>
      <c r="H265" s="15">
        <v>13</v>
      </c>
      <c r="I265" s="15">
        <v>14</v>
      </c>
      <c r="J265" s="15">
        <f>J264+1</f>
        <v>24</v>
      </c>
      <c r="K265" s="15">
        <v>1</v>
      </c>
      <c r="L265" s="15">
        <v>-10.28</v>
      </c>
      <c r="M265" s="22">
        <v>7.42</v>
      </c>
      <c r="N265" s="15">
        <f t="shared" si="67"/>
        <v>1.3854447439353099</v>
      </c>
      <c r="O265" s="22"/>
      <c r="P265" s="22"/>
      <c r="Q265" s="22"/>
      <c r="R265" s="22"/>
      <c r="S265" s="22"/>
    </row>
    <row r="266" spans="1:19" x14ac:dyDescent="0.15">
      <c r="A266" s="22"/>
      <c r="B266" s="22"/>
      <c r="C266" s="22"/>
      <c r="D266" s="22"/>
      <c r="E266" s="22"/>
      <c r="F266" s="22"/>
      <c r="G266" s="41"/>
      <c r="H266" s="15">
        <v>13</v>
      </c>
      <c r="I266" s="15">
        <v>14</v>
      </c>
      <c r="J266" s="15">
        <v>1</v>
      </c>
      <c r="K266" s="15">
        <f t="shared" ref="K266:K276" si="68">K265+1</f>
        <v>2</v>
      </c>
      <c r="L266" s="15">
        <v>-9.83</v>
      </c>
      <c r="M266" s="22">
        <v>7.12</v>
      </c>
      <c r="N266" s="15">
        <f t="shared" si="67"/>
        <v>1.3806179775280898</v>
      </c>
      <c r="O266" s="22"/>
      <c r="P266" s="22"/>
      <c r="Q266" s="22"/>
      <c r="R266" s="22"/>
      <c r="S266" s="22"/>
    </row>
    <row r="267" spans="1:19" x14ac:dyDescent="0.15">
      <c r="A267" s="22"/>
      <c r="B267" s="22"/>
      <c r="C267" s="22"/>
      <c r="D267" s="22"/>
      <c r="E267" s="22"/>
      <c r="F267" s="22"/>
      <c r="G267" s="41"/>
      <c r="H267" s="15">
        <v>13</v>
      </c>
      <c r="I267" s="15">
        <v>14</v>
      </c>
      <c r="J267" s="15">
        <f t="shared" ref="J267:J276" si="69">J266+1</f>
        <v>2</v>
      </c>
      <c r="K267" s="15">
        <f t="shared" si="68"/>
        <v>3</v>
      </c>
      <c r="L267" s="15">
        <v>-11.51</v>
      </c>
      <c r="M267" s="22">
        <v>7.35</v>
      </c>
      <c r="N267" s="15">
        <f t="shared" si="67"/>
        <v>1.5659863945578232</v>
      </c>
      <c r="O267" s="22"/>
      <c r="P267" s="22"/>
      <c r="Q267" s="22"/>
      <c r="R267" s="22"/>
      <c r="S267" s="22"/>
    </row>
    <row r="268" spans="1:19" x14ac:dyDescent="0.15">
      <c r="A268" s="22"/>
      <c r="B268" s="22"/>
      <c r="C268" s="22"/>
      <c r="D268" s="22"/>
      <c r="E268" s="22"/>
      <c r="F268" s="22"/>
      <c r="G268" s="41"/>
      <c r="H268" s="15">
        <v>13</v>
      </c>
      <c r="I268" s="15">
        <v>14</v>
      </c>
      <c r="J268" s="15">
        <f t="shared" si="69"/>
        <v>3</v>
      </c>
      <c r="K268" s="15">
        <f t="shared" si="68"/>
        <v>4</v>
      </c>
      <c r="L268" s="15">
        <v>-10.33</v>
      </c>
      <c r="M268" s="22">
        <v>7.48</v>
      </c>
      <c r="N268" s="15">
        <f t="shared" si="67"/>
        <v>1.3810160427807485</v>
      </c>
      <c r="O268" s="22"/>
      <c r="P268" s="22"/>
      <c r="Q268" s="22"/>
      <c r="R268" s="22"/>
      <c r="S268" s="22"/>
    </row>
    <row r="269" spans="1:19" x14ac:dyDescent="0.15">
      <c r="A269" s="22"/>
      <c r="B269" s="22"/>
      <c r="C269" s="22"/>
      <c r="D269" s="22"/>
      <c r="E269" s="22"/>
      <c r="F269" s="22"/>
      <c r="G269" s="41"/>
      <c r="H269" s="15">
        <v>13</v>
      </c>
      <c r="I269" s="15">
        <v>14</v>
      </c>
      <c r="J269" s="15">
        <f t="shared" si="69"/>
        <v>4</v>
      </c>
      <c r="K269" s="15">
        <f t="shared" si="68"/>
        <v>5</v>
      </c>
      <c r="L269" s="15">
        <v>-11.1</v>
      </c>
      <c r="M269" s="22">
        <v>7.45</v>
      </c>
      <c r="N269" s="15">
        <f t="shared" si="67"/>
        <v>1.4899328859060401</v>
      </c>
      <c r="O269" s="22"/>
      <c r="P269" s="22"/>
      <c r="Q269" s="22"/>
      <c r="R269" s="22"/>
      <c r="S269" s="22"/>
    </row>
    <row r="270" spans="1:19" x14ac:dyDescent="0.15">
      <c r="A270" s="22"/>
      <c r="B270" s="22"/>
      <c r="C270" s="22"/>
      <c r="D270" s="22"/>
      <c r="E270" s="22"/>
      <c r="F270" s="22"/>
      <c r="G270" s="41"/>
      <c r="H270" s="15">
        <v>13</v>
      </c>
      <c r="I270" s="15">
        <v>14</v>
      </c>
      <c r="J270" s="15">
        <f t="shared" si="69"/>
        <v>5</v>
      </c>
      <c r="K270" s="15">
        <f t="shared" si="68"/>
        <v>6</v>
      </c>
      <c r="L270" s="15">
        <v>-12.97</v>
      </c>
      <c r="M270" s="22">
        <v>7.62</v>
      </c>
      <c r="N270" s="15">
        <f t="shared" si="67"/>
        <v>1.7020997375328084</v>
      </c>
      <c r="O270" s="22"/>
      <c r="P270" s="22"/>
      <c r="Q270" s="22"/>
      <c r="R270" s="22"/>
      <c r="S270" s="22"/>
    </row>
    <row r="271" spans="1:19" x14ac:dyDescent="0.15">
      <c r="A271" s="22"/>
      <c r="B271" s="22"/>
      <c r="C271" s="22"/>
      <c r="D271" s="22"/>
      <c r="E271" s="22"/>
      <c r="F271" s="22"/>
      <c r="G271" s="41"/>
      <c r="H271" s="15">
        <v>13</v>
      </c>
      <c r="I271" s="15">
        <v>14</v>
      </c>
      <c r="J271" s="15">
        <f t="shared" si="69"/>
        <v>6</v>
      </c>
      <c r="K271" s="15">
        <f t="shared" si="68"/>
        <v>7</v>
      </c>
      <c r="L271" s="15">
        <v>-16.8</v>
      </c>
      <c r="M271" s="22">
        <v>7.76</v>
      </c>
      <c r="N271" s="15">
        <f t="shared" si="67"/>
        <v>2.1649484536082477</v>
      </c>
      <c r="O271" s="22"/>
      <c r="P271" s="22"/>
      <c r="Q271" s="22"/>
      <c r="R271" s="22"/>
      <c r="S271" s="22"/>
    </row>
    <row r="272" spans="1:19" x14ac:dyDescent="0.15">
      <c r="A272" s="22"/>
      <c r="B272" s="22"/>
      <c r="C272" s="22"/>
      <c r="D272" s="22"/>
      <c r="E272" s="22"/>
      <c r="F272" s="22"/>
      <c r="G272" s="41"/>
      <c r="H272" s="15">
        <v>13</v>
      </c>
      <c r="I272" s="15">
        <v>14</v>
      </c>
      <c r="J272" s="15">
        <f t="shared" si="69"/>
        <v>7</v>
      </c>
      <c r="K272" s="15">
        <f t="shared" si="68"/>
        <v>8</v>
      </c>
      <c r="L272" s="15">
        <v>-21.86</v>
      </c>
      <c r="M272" s="22">
        <v>7.91</v>
      </c>
      <c r="N272" s="15">
        <f t="shared" si="67"/>
        <v>2.7635903919089757</v>
      </c>
      <c r="O272" s="22"/>
      <c r="P272" s="22"/>
      <c r="Q272" s="22"/>
      <c r="R272" s="22"/>
      <c r="S272" s="22"/>
    </row>
    <row r="273" spans="1:19" x14ac:dyDescent="0.15">
      <c r="A273" s="22"/>
      <c r="B273" s="22"/>
      <c r="C273" s="22"/>
      <c r="D273" s="22"/>
      <c r="E273" s="22"/>
      <c r="F273" s="22"/>
      <c r="G273" s="41"/>
      <c r="H273" s="15">
        <v>13</v>
      </c>
      <c r="I273" s="15">
        <v>14</v>
      </c>
      <c r="J273" s="15">
        <f t="shared" si="69"/>
        <v>8</v>
      </c>
      <c r="K273" s="15">
        <f t="shared" si="68"/>
        <v>9</v>
      </c>
      <c r="L273" s="15">
        <v>-31.17</v>
      </c>
      <c r="M273" s="22">
        <v>7.83</v>
      </c>
      <c r="N273" s="15">
        <f t="shared" si="67"/>
        <v>3.9808429118773949</v>
      </c>
      <c r="O273" s="22"/>
      <c r="P273" s="22"/>
      <c r="Q273" s="22"/>
      <c r="R273" s="22"/>
      <c r="S273" s="22"/>
    </row>
    <row r="274" spans="1:19" x14ac:dyDescent="0.15">
      <c r="A274" s="22"/>
      <c r="B274" s="22"/>
      <c r="C274" s="22"/>
      <c r="D274" s="22"/>
      <c r="E274" s="22"/>
      <c r="F274" s="22"/>
      <c r="G274" s="41"/>
      <c r="H274" s="15">
        <v>13</v>
      </c>
      <c r="I274" s="15">
        <v>14</v>
      </c>
      <c r="J274" s="15">
        <f t="shared" si="69"/>
        <v>9</v>
      </c>
      <c r="K274" s="15">
        <f t="shared" si="68"/>
        <v>10</v>
      </c>
      <c r="L274" s="15">
        <v>-58.31</v>
      </c>
      <c r="M274" s="22">
        <v>7.89</v>
      </c>
      <c r="N274" s="15">
        <f t="shared" si="67"/>
        <v>7.3903675538656532</v>
      </c>
      <c r="O274" s="22"/>
      <c r="P274" s="22"/>
      <c r="Q274" s="22"/>
      <c r="R274" s="22"/>
      <c r="S274" s="22"/>
    </row>
    <row r="275" spans="1:19" x14ac:dyDescent="0.15">
      <c r="A275" s="22"/>
      <c r="B275" s="22"/>
      <c r="C275" s="22"/>
      <c r="D275" s="22"/>
      <c r="E275" s="22"/>
      <c r="F275" s="22"/>
      <c r="G275" s="41"/>
      <c r="H275" s="15">
        <v>13</v>
      </c>
      <c r="I275" s="15">
        <v>14</v>
      </c>
      <c r="J275" s="15">
        <f t="shared" si="69"/>
        <v>10</v>
      </c>
      <c r="K275" s="15">
        <f t="shared" si="68"/>
        <v>11</v>
      </c>
      <c r="L275" s="15">
        <v>-131.21</v>
      </c>
      <c r="M275" s="22">
        <v>7.88</v>
      </c>
      <c r="N275" s="15">
        <f t="shared" si="67"/>
        <v>16.651015228426399</v>
      </c>
      <c r="O275" s="22"/>
      <c r="P275" s="22"/>
      <c r="Q275" s="22"/>
      <c r="R275" s="22"/>
      <c r="S275" s="22"/>
    </row>
    <row r="276" spans="1:19" x14ac:dyDescent="0.15">
      <c r="A276" s="22"/>
      <c r="B276" s="22"/>
      <c r="C276" s="22"/>
      <c r="D276" s="22"/>
      <c r="E276" s="22"/>
      <c r="F276" s="22"/>
      <c r="G276" s="41"/>
      <c r="H276" s="15">
        <v>13</v>
      </c>
      <c r="I276" s="15">
        <v>14</v>
      </c>
      <c r="J276" s="15">
        <f t="shared" si="69"/>
        <v>11</v>
      </c>
      <c r="K276" s="15">
        <f t="shared" si="68"/>
        <v>12</v>
      </c>
      <c r="L276" s="15">
        <v>-500.53</v>
      </c>
      <c r="M276" s="22">
        <v>7.91</v>
      </c>
      <c r="N276" s="15">
        <f t="shared" si="67"/>
        <v>63.278128950695319</v>
      </c>
      <c r="O276" s="22"/>
      <c r="P276" s="22"/>
      <c r="Q276" s="22"/>
      <c r="R276" s="22"/>
      <c r="S276" s="22"/>
    </row>
    <row r="277" spans="1:19" x14ac:dyDescent="0.15">
      <c r="A277" s="22"/>
      <c r="B277" s="22"/>
      <c r="C277" s="22"/>
      <c r="D277" s="22"/>
      <c r="E277" s="22"/>
      <c r="F277" s="22"/>
      <c r="G277" s="41"/>
      <c r="H277" s="15">
        <v>14</v>
      </c>
      <c r="I277" s="15">
        <v>15</v>
      </c>
      <c r="J277" s="15">
        <f>I277+1</f>
        <v>16</v>
      </c>
      <c r="K277" s="15">
        <f>J277+1</f>
        <v>17</v>
      </c>
      <c r="L277" s="15">
        <v>-423.24</v>
      </c>
      <c r="M277" s="22">
        <v>7.08</v>
      </c>
      <c r="N277" s="15">
        <f t="shared" si="67"/>
        <v>59.779661016949156</v>
      </c>
      <c r="O277" s="22"/>
      <c r="P277" s="22"/>
      <c r="Q277" s="22"/>
      <c r="R277" s="22"/>
      <c r="S277" s="22"/>
    </row>
    <row r="278" spans="1:19" x14ac:dyDescent="0.15">
      <c r="A278" s="22"/>
      <c r="B278" s="22"/>
      <c r="C278" s="22"/>
      <c r="D278" s="22"/>
      <c r="E278" s="22"/>
      <c r="F278" s="22"/>
      <c r="G278" s="41"/>
      <c r="H278" s="15">
        <v>14</v>
      </c>
      <c r="I278" s="15">
        <v>15</v>
      </c>
      <c r="J278" s="15">
        <f t="shared" ref="J278:K284" si="70">J277+1</f>
        <v>17</v>
      </c>
      <c r="K278" s="15">
        <f t="shared" si="70"/>
        <v>18</v>
      </c>
      <c r="L278" s="15">
        <v>-110.06</v>
      </c>
      <c r="M278" s="22">
        <v>7.03</v>
      </c>
      <c r="N278" s="15">
        <f t="shared" si="67"/>
        <v>15.655761024182077</v>
      </c>
      <c r="O278" s="22"/>
      <c r="P278" s="22"/>
      <c r="Q278" s="22"/>
      <c r="R278" s="22"/>
      <c r="S278" s="22"/>
    </row>
    <row r="279" spans="1:19" x14ac:dyDescent="0.15">
      <c r="A279" s="22"/>
      <c r="B279" s="22"/>
      <c r="C279" s="22"/>
      <c r="D279" s="22"/>
      <c r="E279" s="22"/>
      <c r="F279" s="22"/>
      <c r="G279" s="41"/>
      <c r="H279" s="15">
        <v>14</v>
      </c>
      <c r="I279" s="15">
        <v>15</v>
      </c>
      <c r="J279" s="15">
        <f t="shared" si="70"/>
        <v>18</v>
      </c>
      <c r="K279" s="15">
        <f t="shared" si="70"/>
        <v>19</v>
      </c>
      <c r="L279" s="15">
        <v>-55.99</v>
      </c>
      <c r="M279" s="22">
        <v>7.42</v>
      </c>
      <c r="N279" s="15">
        <f t="shared" si="67"/>
        <v>7.545822102425876</v>
      </c>
      <c r="O279" s="22"/>
      <c r="P279" s="22"/>
      <c r="Q279" s="22"/>
      <c r="R279" s="22"/>
      <c r="S279" s="22"/>
    </row>
    <row r="280" spans="1:19" x14ac:dyDescent="0.15">
      <c r="A280" s="22"/>
      <c r="B280" s="22"/>
      <c r="C280" s="22"/>
      <c r="D280" s="22"/>
      <c r="E280" s="22"/>
      <c r="F280" s="22"/>
      <c r="G280" s="41"/>
      <c r="H280" s="15">
        <v>14</v>
      </c>
      <c r="I280" s="15">
        <v>15</v>
      </c>
      <c r="J280" s="15">
        <f t="shared" si="70"/>
        <v>19</v>
      </c>
      <c r="K280" s="15">
        <f t="shared" si="70"/>
        <v>20</v>
      </c>
      <c r="L280" s="15">
        <v>-27.61</v>
      </c>
      <c r="M280" s="22">
        <v>7.18</v>
      </c>
      <c r="N280" s="15">
        <f t="shared" si="67"/>
        <v>3.8454038997214486</v>
      </c>
      <c r="O280" s="22"/>
      <c r="P280" s="22"/>
      <c r="Q280" s="22"/>
      <c r="R280" s="22"/>
      <c r="S280" s="22"/>
    </row>
    <row r="281" spans="1:19" x14ac:dyDescent="0.15">
      <c r="A281" s="22"/>
      <c r="B281" s="22"/>
      <c r="C281" s="22"/>
      <c r="D281" s="22"/>
      <c r="E281" s="22"/>
      <c r="F281" s="22"/>
      <c r="G281" s="41"/>
      <c r="H281" s="15">
        <v>14</v>
      </c>
      <c r="I281" s="15">
        <v>15</v>
      </c>
      <c r="J281" s="15">
        <f t="shared" si="70"/>
        <v>20</v>
      </c>
      <c r="K281" s="15">
        <f t="shared" si="70"/>
        <v>21</v>
      </c>
      <c r="L281" s="15">
        <v>-19.739999999999998</v>
      </c>
      <c r="M281" s="22">
        <v>8.02</v>
      </c>
      <c r="N281" s="15">
        <f t="shared" si="67"/>
        <v>2.4613466334164587</v>
      </c>
      <c r="O281" s="22"/>
      <c r="P281" s="22"/>
      <c r="Q281" s="22"/>
      <c r="R281" s="22"/>
      <c r="S281" s="22"/>
    </row>
    <row r="282" spans="1:19" x14ac:dyDescent="0.15">
      <c r="A282" s="22"/>
      <c r="B282" s="22"/>
      <c r="C282" s="22"/>
      <c r="D282" s="22"/>
      <c r="E282" s="22"/>
      <c r="F282" s="22"/>
      <c r="G282" s="41"/>
      <c r="H282" s="15">
        <v>14</v>
      </c>
      <c r="I282" s="15">
        <v>15</v>
      </c>
      <c r="J282" s="15">
        <f t="shared" si="70"/>
        <v>21</v>
      </c>
      <c r="K282" s="15">
        <f t="shared" si="70"/>
        <v>22</v>
      </c>
      <c r="L282" s="15">
        <v>-16</v>
      </c>
      <c r="M282" s="22">
        <v>8.16</v>
      </c>
      <c r="N282" s="15">
        <f t="shared" si="67"/>
        <v>1.9607843137254901</v>
      </c>
      <c r="O282" s="22"/>
      <c r="P282" s="22"/>
      <c r="Q282" s="22"/>
      <c r="R282" s="22"/>
      <c r="S282" s="22"/>
    </row>
    <row r="283" spans="1:19" x14ac:dyDescent="0.15">
      <c r="A283" s="22"/>
      <c r="B283" s="22"/>
      <c r="C283" s="22"/>
      <c r="D283" s="22"/>
      <c r="E283" s="22"/>
      <c r="F283" s="22"/>
      <c r="G283" s="41"/>
      <c r="H283" s="15">
        <v>14</v>
      </c>
      <c r="I283" s="15">
        <v>15</v>
      </c>
      <c r="J283" s="15">
        <f t="shared" si="70"/>
        <v>22</v>
      </c>
      <c r="K283" s="15">
        <f t="shared" si="70"/>
        <v>23</v>
      </c>
      <c r="L283" s="15">
        <v>-21.98</v>
      </c>
      <c r="M283" s="22">
        <v>8.09</v>
      </c>
      <c r="N283" s="15">
        <f t="shared" si="67"/>
        <v>2.7169344870210135</v>
      </c>
      <c r="O283" s="22"/>
      <c r="P283" s="22"/>
      <c r="Q283" s="22"/>
      <c r="R283" s="22"/>
      <c r="S283" s="22"/>
    </row>
    <row r="284" spans="1:19" x14ac:dyDescent="0.15">
      <c r="A284" s="22"/>
      <c r="B284" s="22"/>
      <c r="C284" s="22"/>
      <c r="D284" s="22"/>
      <c r="E284" s="22"/>
      <c r="F284" s="22"/>
      <c r="G284" s="41"/>
      <c r="H284" s="15">
        <v>14</v>
      </c>
      <c r="I284" s="15">
        <v>15</v>
      </c>
      <c r="J284" s="15">
        <f t="shared" si="70"/>
        <v>23</v>
      </c>
      <c r="K284" s="15">
        <f t="shared" si="70"/>
        <v>24</v>
      </c>
      <c r="L284" s="15">
        <v>-10.87</v>
      </c>
      <c r="M284" s="22">
        <v>8.27</v>
      </c>
      <c r="N284" s="15">
        <f t="shared" si="67"/>
        <v>1.3143893591293834</v>
      </c>
      <c r="O284" s="22"/>
      <c r="P284" s="22"/>
      <c r="Q284" s="22"/>
      <c r="R284" s="22"/>
      <c r="S284" s="22"/>
    </row>
    <row r="285" spans="1:19" x14ac:dyDescent="0.15">
      <c r="A285" s="22"/>
      <c r="B285" s="22"/>
      <c r="C285" s="22"/>
      <c r="D285" s="22"/>
      <c r="E285" s="22"/>
      <c r="F285" s="22"/>
      <c r="G285" s="41"/>
      <c r="H285" s="15">
        <v>14</v>
      </c>
      <c r="I285" s="15">
        <v>15</v>
      </c>
      <c r="J285" s="15">
        <f>J284+1</f>
        <v>24</v>
      </c>
      <c r="K285" s="15">
        <v>1</v>
      </c>
      <c r="L285" s="15">
        <v>-11.62</v>
      </c>
      <c r="M285" s="22">
        <v>8.08</v>
      </c>
      <c r="N285" s="15">
        <f t="shared" si="67"/>
        <v>1.4381188118811881</v>
      </c>
      <c r="O285" s="22"/>
      <c r="P285" s="22"/>
      <c r="Q285" s="22"/>
      <c r="R285" s="22"/>
      <c r="S285" s="22"/>
    </row>
    <row r="286" spans="1:19" x14ac:dyDescent="0.15">
      <c r="A286" s="22"/>
      <c r="B286" s="22"/>
      <c r="C286" s="22"/>
      <c r="D286" s="22"/>
      <c r="E286" s="22"/>
      <c r="F286" s="22"/>
      <c r="G286" s="41"/>
      <c r="H286" s="15">
        <v>14</v>
      </c>
      <c r="I286" s="15">
        <v>15</v>
      </c>
      <c r="J286" s="15">
        <v>1</v>
      </c>
      <c r="K286" s="15">
        <f t="shared" ref="K286:K297" si="71">K285+1</f>
        <v>2</v>
      </c>
      <c r="L286" s="15">
        <v>-12.05</v>
      </c>
      <c r="M286" s="22">
        <v>7.74</v>
      </c>
      <c r="N286" s="15">
        <f t="shared" si="67"/>
        <v>1.5568475452196382</v>
      </c>
      <c r="O286" s="22"/>
      <c r="P286" s="22"/>
      <c r="Q286" s="22"/>
      <c r="R286" s="22"/>
      <c r="S286" s="22"/>
    </row>
    <row r="287" spans="1:19" x14ac:dyDescent="0.15">
      <c r="A287" s="22"/>
      <c r="B287" s="22"/>
      <c r="C287" s="22"/>
      <c r="D287" s="22"/>
      <c r="E287" s="22"/>
      <c r="F287" s="22"/>
      <c r="G287" s="41"/>
      <c r="H287" s="15">
        <v>14</v>
      </c>
      <c r="I287" s="15">
        <v>15</v>
      </c>
      <c r="J287" s="15">
        <f t="shared" ref="J287:J297" si="72">J286+1</f>
        <v>2</v>
      </c>
      <c r="K287" s="15">
        <f t="shared" si="71"/>
        <v>3</v>
      </c>
      <c r="L287" s="15">
        <v>-12.83</v>
      </c>
      <c r="M287" s="22">
        <v>7.84</v>
      </c>
      <c r="N287" s="15">
        <f t="shared" si="67"/>
        <v>1.6364795918367347</v>
      </c>
      <c r="O287" s="22"/>
      <c r="P287" s="22"/>
      <c r="Q287" s="22"/>
      <c r="R287" s="22"/>
      <c r="S287" s="22"/>
    </row>
    <row r="288" spans="1:19" x14ac:dyDescent="0.15">
      <c r="A288" s="22"/>
      <c r="B288" s="22"/>
      <c r="C288" s="22"/>
      <c r="D288" s="22"/>
      <c r="E288" s="22"/>
      <c r="F288" s="22"/>
      <c r="G288" s="41"/>
      <c r="H288" s="15">
        <v>14</v>
      </c>
      <c r="I288" s="15">
        <v>15</v>
      </c>
      <c r="J288" s="15">
        <f t="shared" si="72"/>
        <v>3</v>
      </c>
      <c r="K288" s="15">
        <f t="shared" si="71"/>
        <v>4</v>
      </c>
      <c r="L288" s="15">
        <v>-10.19</v>
      </c>
      <c r="M288" s="22">
        <v>7.83</v>
      </c>
      <c r="N288" s="15">
        <f t="shared" si="67"/>
        <v>1.301404853128991</v>
      </c>
      <c r="O288" s="22"/>
      <c r="P288" s="22"/>
      <c r="Q288" s="22"/>
      <c r="R288" s="22"/>
      <c r="S288" s="22"/>
    </row>
    <row r="289" spans="1:19" x14ac:dyDescent="0.15">
      <c r="A289" s="22"/>
      <c r="B289" s="22"/>
      <c r="C289" s="22"/>
      <c r="D289" s="22"/>
      <c r="E289" s="22"/>
      <c r="F289" s="22"/>
      <c r="G289" s="41"/>
      <c r="H289" s="15">
        <v>14</v>
      </c>
      <c r="I289" s="15">
        <v>15</v>
      </c>
      <c r="J289" s="15">
        <f t="shared" si="72"/>
        <v>4</v>
      </c>
      <c r="K289" s="15">
        <f t="shared" si="71"/>
        <v>5</v>
      </c>
      <c r="L289" s="15">
        <v>-10</v>
      </c>
      <c r="M289" s="22">
        <v>7.57</v>
      </c>
      <c r="N289" s="15">
        <f t="shared" si="67"/>
        <v>1.321003963011889</v>
      </c>
      <c r="O289" s="22"/>
      <c r="P289" s="22"/>
      <c r="Q289" s="22"/>
      <c r="R289" s="22"/>
      <c r="S289" s="22"/>
    </row>
    <row r="290" spans="1:19" x14ac:dyDescent="0.15">
      <c r="A290" s="22"/>
      <c r="B290" s="22"/>
      <c r="C290" s="22"/>
      <c r="D290" s="22"/>
      <c r="E290" s="22"/>
      <c r="F290" s="22"/>
      <c r="G290" s="41"/>
      <c r="H290" s="15">
        <v>14</v>
      </c>
      <c r="I290" s="15">
        <v>15</v>
      </c>
      <c r="J290" s="15">
        <f t="shared" si="72"/>
        <v>5</v>
      </c>
      <c r="K290" s="15">
        <f t="shared" si="71"/>
        <v>6</v>
      </c>
      <c r="L290" s="15">
        <v>-11.45</v>
      </c>
      <c r="M290" s="22">
        <v>7.61</v>
      </c>
      <c r="N290" s="15">
        <f t="shared" si="67"/>
        <v>1.5045992115637317</v>
      </c>
      <c r="O290" s="22"/>
      <c r="P290" s="22"/>
      <c r="Q290" s="22"/>
      <c r="R290" s="22"/>
      <c r="S290" s="22"/>
    </row>
    <row r="291" spans="1:19" x14ac:dyDescent="0.15">
      <c r="A291" s="22"/>
      <c r="B291" s="22"/>
      <c r="C291" s="22"/>
      <c r="D291" s="22"/>
      <c r="E291" s="22"/>
      <c r="F291" s="22"/>
      <c r="G291" s="41"/>
      <c r="H291" s="15">
        <v>14</v>
      </c>
      <c r="I291" s="15">
        <v>15</v>
      </c>
      <c r="J291" s="15">
        <f t="shared" si="72"/>
        <v>6</v>
      </c>
      <c r="K291" s="15">
        <f t="shared" si="71"/>
        <v>7</v>
      </c>
      <c r="L291" s="15">
        <v>-15.65</v>
      </c>
      <c r="M291" s="22">
        <v>7.66</v>
      </c>
      <c r="N291" s="15">
        <f t="shared" si="67"/>
        <v>2.0430809399477807</v>
      </c>
      <c r="O291" s="22"/>
      <c r="P291" s="22"/>
      <c r="Q291" s="22"/>
      <c r="R291" s="22"/>
      <c r="S291" s="22"/>
    </row>
    <row r="292" spans="1:19" x14ac:dyDescent="0.15">
      <c r="A292" s="22"/>
      <c r="B292" s="22"/>
      <c r="C292" s="22"/>
      <c r="D292" s="22"/>
      <c r="E292" s="22"/>
      <c r="F292" s="22"/>
      <c r="G292" s="41"/>
      <c r="H292" s="15">
        <v>14</v>
      </c>
      <c r="I292" s="15">
        <v>15</v>
      </c>
      <c r="J292" s="15">
        <f t="shared" si="72"/>
        <v>7</v>
      </c>
      <c r="K292" s="15">
        <f t="shared" si="71"/>
        <v>8</v>
      </c>
      <c r="L292" s="15">
        <v>-14.86</v>
      </c>
      <c r="M292" s="22">
        <v>7.43</v>
      </c>
      <c r="N292" s="15">
        <f t="shared" si="67"/>
        <v>2</v>
      </c>
      <c r="O292" s="22"/>
      <c r="P292" s="22"/>
      <c r="Q292" s="22"/>
      <c r="R292" s="22"/>
      <c r="S292" s="22"/>
    </row>
    <row r="293" spans="1:19" x14ac:dyDescent="0.15">
      <c r="A293" s="22"/>
      <c r="B293" s="22"/>
      <c r="C293" s="22"/>
      <c r="D293" s="22"/>
      <c r="E293" s="22"/>
      <c r="F293" s="22"/>
      <c r="G293" s="41"/>
      <c r="H293" s="15">
        <v>14</v>
      </c>
      <c r="I293" s="15">
        <v>15</v>
      </c>
      <c r="J293" s="15">
        <f t="shared" si="72"/>
        <v>8</v>
      </c>
      <c r="K293" s="15">
        <f t="shared" si="71"/>
        <v>9</v>
      </c>
      <c r="L293" s="15">
        <v>-19.440000000000001</v>
      </c>
      <c r="M293" s="22">
        <v>7.44</v>
      </c>
      <c r="N293" s="15">
        <f t="shared" si="67"/>
        <v>2.6129032258064515</v>
      </c>
      <c r="O293" s="22"/>
      <c r="P293" s="22"/>
      <c r="Q293" s="22"/>
      <c r="R293" s="22"/>
      <c r="S293" s="22"/>
    </row>
    <row r="294" spans="1:19" x14ac:dyDescent="0.15">
      <c r="A294" s="22"/>
      <c r="B294" s="22"/>
      <c r="C294" s="22"/>
      <c r="D294" s="22"/>
      <c r="E294" s="22"/>
      <c r="F294" s="22"/>
      <c r="G294" s="41"/>
      <c r="H294" s="15">
        <v>14</v>
      </c>
      <c r="I294" s="15">
        <v>15</v>
      </c>
      <c r="J294" s="15">
        <f t="shared" si="72"/>
        <v>9</v>
      </c>
      <c r="K294" s="15">
        <f t="shared" si="71"/>
        <v>10</v>
      </c>
      <c r="L294" s="15">
        <v>-30.29</v>
      </c>
      <c r="M294" s="22">
        <v>7.76</v>
      </c>
      <c r="N294" s="15">
        <f t="shared" si="67"/>
        <v>3.9033505154639174</v>
      </c>
      <c r="O294" s="22"/>
      <c r="P294" s="22"/>
      <c r="Q294" s="22"/>
      <c r="R294" s="22"/>
      <c r="S294" s="22"/>
    </row>
    <row r="295" spans="1:19" x14ac:dyDescent="0.15">
      <c r="A295" s="22"/>
      <c r="B295" s="22"/>
      <c r="C295" s="22"/>
      <c r="D295" s="22"/>
      <c r="E295" s="22"/>
      <c r="F295" s="22"/>
      <c r="G295" s="41"/>
      <c r="H295" s="15">
        <v>14</v>
      </c>
      <c r="I295" s="15">
        <v>15</v>
      </c>
      <c r="J295" s="15">
        <f t="shared" si="72"/>
        <v>10</v>
      </c>
      <c r="K295" s="15">
        <f t="shared" si="71"/>
        <v>11</v>
      </c>
      <c r="L295" s="15">
        <v>-55.38</v>
      </c>
      <c r="M295" s="22">
        <v>7.72</v>
      </c>
      <c r="N295" s="15">
        <f t="shared" si="67"/>
        <v>7.1735751295336794</v>
      </c>
      <c r="O295" s="22"/>
      <c r="P295" s="22"/>
      <c r="Q295" s="22"/>
      <c r="R295" s="22"/>
      <c r="S295" s="22"/>
    </row>
    <row r="296" spans="1:19" x14ac:dyDescent="0.15">
      <c r="A296" s="22"/>
      <c r="B296" s="22"/>
      <c r="C296" s="22"/>
      <c r="D296" s="22"/>
      <c r="E296" s="22"/>
      <c r="F296" s="22"/>
      <c r="G296" s="41"/>
      <c r="H296" s="15">
        <v>14</v>
      </c>
      <c r="I296" s="15">
        <v>15</v>
      </c>
      <c r="J296" s="15">
        <f t="shared" si="72"/>
        <v>11</v>
      </c>
      <c r="K296" s="15">
        <f t="shared" si="71"/>
        <v>12</v>
      </c>
      <c r="L296" s="15">
        <v>-118.1</v>
      </c>
      <c r="M296" s="22">
        <v>7.45</v>
      </c>
      <c r="N296" s="15">
        <f t="shared" si="67"/>
        <v>15.85234899328859</v>
      </c>
      <c r="O296" s="22"/>
      <c r="P296" s="22"/>
      <c r="Q296" s="22"/>
      <c r="R296" s="22"/>
      <c r="S296" s="22"/>
    </row>
    <row r="297" spans="1:19" x14ac:dyDescent="0.15">
      <c r="A297" s="22"/>
      <c r="B297" s="22"/>
      <c r="C297" s="22"/>
      <c r="D297" s="22"/>
      <c r="E297" s="22"/>
      <c r="F297" s="22"/>
      <c r="G297" s="41"/>
      <c r="H297" s="15">
        <v>14</v>
      </c>
      <c r="I297" s="15">
        <v>15</v>
      </c>
      <c r="J297" s="15">
        <f t="shared" si="72"/>
        <v>12</v>
      </c>
      <c r="K297" s="15">
        <f t="shared" si="71"/>
        <v>13</v>
      </c>
      <c r="L297" s="15">
        <v>-451.67</v>
      </c>
      <c r="M297" s="22">
        <v>7.39</v>
      </c>
      <c r="N297" s="15">
        <f t="shared" si="67"/>
        <v>61.119079837618408</v>
      </c>
      <c r="O297" s="22"/>
      <c r="P297" s="22"/>
      <c r="Q297" s="22"/>
      <c r="R297" s="22"/>
      <c r="S297" s="22"/>
    </row>
    <row r="298" spans="1:19" x14ac:dyDescent="0.15">
      <c r="A298" s="22"/>
      <c r="B298" s="22"/>
      <c r="C298" s="22"/>
      <c r="D298" s="22"/>
      <c r="E298" s="22"/>
      <c r="F298" s="22"/>
      <c r="G298" s="41"/>
      <c r="H298" s="15">
        <v>15</v>
      </c>
      <c r="I298" s="15">
        <v>16</v>
      </c>
      <c r="J298" s="15">
        <f>I298+1</f>
        <v>17</v>
      </c>
      <c r="K298" s="15">
        <f>J298+1</f>
        <v>18</v>
      </c>
      <c r="L298" s="15">
        <v>-596.54999999999995</v>
      </c>
      <c r="M298" s="22">
        <v>9.18</v>
      </c>
      <c r="N298" s="15">
        <f t="shared" si="67"/>
        <v>64.983660130718945</v>
      </c>
      <c r="O298" s="22"/>
      <c r="P298" s="22"/>
      <c r="Q298" s="22"/>
      <c r="R298" s="22"/>
      <c r="S298" s="22"/>
    </row>
    <row r="299" spans="1:19" x14ac:dyDescent="0.15">
      <c r="A299" s="22"/>
      <c r="B299" s="22"/>
      <c r="C299" s="22"/>
      <c r="D299" s="22"/>
      <c r="E299" s="22"/>
      <c r="F299" s="22"/>
      <c r="G299" s="41"/>
      <c r="H299" s="15">
        <v>15</v>
      </c>
      <c r="I299" s="15">
        <v>16</v>
      </c>
      <c r="J299" s="15">
        <f t="shared" ref="J299:K304" si="73">J298+1</f>
        <v>18</v>
      </c>
      <c r="K299" s="15">
        <f t="shared" si="73"/>
        <v>19</v>
      </c>
      <c r="L299" s="15">
        <v>-168.99</v>
      </c>
      <c r="M299" s="22">
        <v>9.52</v>
      </c>
      <c r="N299" s="15">
        <f t="shared" si="67"/>
        <v>17.75105042016807</v>
      </c>
      <c r="O299" s="22"/>
      <c r="P299" s="22"/>
      <c r="Q299" s="22"/>
      <c r="R299" s="22"/>
      <c r="S299" s="22"/>
    </row>
    <row r="300" spans="1:19" x14ac:dyDescent="0.15">
      <c r="A300" s="22"/>
      <c r="B300" s="22"/>
      <c r="C300" s="22"/>
      <c r="D300" s="22"/>
      <c r="E300" s="22"/>
      <c r="F300" s="22"/>
      <c r="G300" s="41"/>
      <c r="H300" s="15">
        <v>15</v>
      </c>
      <c r="I300" s="15">
        <v>16</v>
      </c>
      <c r="J300" s="15">
        <f t="shared" si="73"/>
        <v>19</v>
      </c>
      <c r="K300" s="15">
        <f t="shared" si="73"/>
        <v>20</v>
      </c>
      <c r="L300" s="15">
        <v>-60.61</v>
      </c>
      <c r="M300" s="22">
        <v>9.36</v>
      </c>
      <c r="N300" s="15">
        <f t="shared" si="67"/>
        <v>6.475427350427351</v>
      </c>
      <c r="O300" s="22"/>
      <c r="P300" s="22"/>
      <c r="Q300" s="22"/>
      <c r="R300" s="22"/>
      <c r="S300" s="22"/>
    </row>
    <row r="301" spans="1:19" x14ac:dyDescent="0.15">
      <c r="A301" s="22"/>
      <c r="B301" s="22"/>
      <c r="C301" s="22"/>
      <c r="D301" s="22"/>
      <c r="E301" s="22"/>
      <c r="F301" s="22"/>
      <c r="G301" s="41"/>
      <c r="H301" s="15">
        <v>15</v>
      </c>
      <c r="I301" s="15">
        <v>16</v>
      </c>
      <c r="J301" s="15">
        <f t="shared" si="73"/>
        <v>20</v>
      </c>
      <c r="K301" s="15">
        <f t="shared" si="73"/>
        <v>21</v>
      </c>
      <c r="L301" s="15">
        <v>-33.909999999999997</v>
      </c>
      <c r="M301" s="22">
        <v>9.07</v>
      </c>
      <c r="N301" s="15">
        <f t="shared" si="67"/>
        <v>3.7386990077177504</v>
      </c>
      <c r="O301" s="22"/>
      <c r="P301" s="22"/>
      <c r="Q301" s="22"/>
      <c r="R301" s="22"/>
      <c r="S301" s="22"/>
    </row>
    <row r="302" spans="1:19" x14ac:dyDescent="0.15">
      <c r="A302" s="22"/>
      <c r="B302" s="22"/>
      <c r="C302" s="22"/>
      <c r="D302" s="22"/>
      <c r="E302" s="22"/>
      <c r="F302" s="22"/>
      <c r="G302" s="41"/>
      <c r="H302" s="15">
        <v>15</v>
      </c>
      <c r="I302" s="15">
        <v>16</v>
      </c>
      <c r="J302" s="15">
        <f t="shared" si="73"/>
        <v>21</v>
      </c>
      <c r="K302" s="15">
        <f t="shared" si="73"/>
        <v>22</v>
      </c>
      <c r="L302" s="15">
        <v>-25.12</v>
      </c>
      <c r="M302" s="22">
        <v>9.06</v>
      </c>
      <c r="N302" s="15">
        <f t="shared" si="67"/>
        <v>2.7726269315673289</v>
      </c>
      <c r="O302" s="22"/>
      <c r="P302" s="22"/>
      <c r="Q302" s="22"/>
      <c r="R302" s="22"/>
      <c r="S302" s="22"/>
    </row>
    <row r="303" spans="1:19" x14ac:dyDescent="0.15">
      <c r="A303" s="22"/>
      <c r="B303" s="22"/>
      <c r="C303" s="22"/>
      <c r="D303" s="22"/>
      <c r="E303" s="22"/>
      <c r="F303" s="22"/>
      <c r="G303" s="41"/>
      <c r="H303" s="15">
        <v>15</v>
      </c>
      <c r="I303" s="15">
        <v>16</v>
      </c>
      <c r="J303" s="15">
        <f t="shared" si="73"/>
        <v>22</v>
      </c>
      <c r="K303" s="15">
        <f t="shared" si="73"/>
        <v>23</v>
      </c>
      <c r="L303" s="15">
        <v>-18.82</v>
      </c>
      <c r="M303" s="22">
        <v>9.0399999999999991</v>
      </c>
      <c r="N303" s="15">
        <f t="shared" si="67"/>
        <v>2.0818584070796464</v>
      </c>
      <c r="O303" s="22"/>
      <c r="P303" s="22"/>
      <c r="Q303" s="22"/>
      <c r="R303" s="22"/>
      <c r="S303" s="22"/>
    </row>
    <row r="304" spans="1:19" x14ac:dyDescent="0.15">
      <c r="A304" s="22"/>
      <c r="B304" s="22"/>
      <c r="C304" s="22"/>
      <c r="D304" s="22"/>
      <c r="E304" s="22"/>
      <c r="F304" s="22"/>
      <c r="G304" s="41"/>
      <c r="H304" s="15">
        <v>15</v>
      </c>
      <c r="I304" s="15">
        <v>16</v>
      </c>
      <c r="J304" s="15">
        <f t="shared" si="73"/>
        <v>23</v>
      </c>
      <c r="K304" s="15">
        <f t="shared" si="73"/>
        <v>24</v>
      </c>
      <c r="L304" s="15">
        <v>-14.32</v>
      </c>
      <c r="M304" s="22">
        <v>9.32</v>
      </c>
      <c r="N304" s="15">
        <f t="shared" si="67"/>
        <v>1.5364806866952789</v>
      </c>
      <c r="O304" s="22"/>
      <c r="P304" s="22"/>
      <c r="Q304" s="22"/>
      <c r="R304" s="22"/>
      <c r="S304" s="22"/>
    </row>
    <row r="305" spans="1:19" x14ac:dyDescent="0.15">
      <c r="A305" s="22"/>
      <c r="B305" s="22"/>
      <c r="C305" s="22"/>
      <c r="D305" s="22"/>
      <c r="E305" s="22"/>
      <c r="F305" s="22"/>
      <c r="G305" s="41"/>
      <c r="H305" s="15">
        <v>15</v>
      </c>
      <c r="I305" s="15">
        <v>16</v>
      </c>
      <c r="J305" s="15">
        <f>J304+1</f>
        <v>24</v>
      </c>
      <c r="K305" s="15">
        <v>1</v>
      </c>
      <c r="L305" s="15">
        <v>-14.67</v>
      </c>
      <c r="M305" s="22">
        <v>9.15</v>
      </c>
      <c r="N305" s="15">
        <f t="shared" si="67"/>
        <v>1.60327868852459</v>
      </c>
      <c r="O305" s="22"/>
      <c r="P305" s="22"/>
      <c r="Q305" s="22"/>
      <c r="R305" s="22"/>
      <c r="S305" s="22"/>
    </row>
    <row r="306" spans="1:19" x14ac:dyDescent="0.15">
      <c r="A306" s="22"/>
      <c r="B306" s="22"/>
      <c r="C306" s="22"/>
      <c r="D306" s="22"/>
      <c r="E306" s="22"/>
      <c r="F306" s="22"/>
      <c r="G306" s="41"/>
      <c r="H306" s="15">
        <v>15</v>
      </c>
      <c r="I306" s="15">
        <v>16</v>
      </c>
      <c r="J306" s="15">
        <v>1</v>
      </c>
      <c r="K306" s="15">
        <f t="shared" ref="K306:K318" si="74">K305+1</f>
        <v>2</v>
      </c>
      <c r="L306" s="15">
        <v>-13.7</v>
      </c>
      <c r="M306" s="22">
        <v>9.24</v>
      </c>
      <c r="N306" s="15">
        <f t="shared" si="67"/>
        <v>1.4826839826839826</v>
      </c>
      <c r="O306" s="22"/>
      <c r="P306" s="22"/>
      <c r="Q306" s="22"/>
      <c r="R306" s="22"/>
      <c r="S306" s="22"/>
    </row>
    <row r="307" spans="1:19" x14ac:dyDescent="0.15">
      <c r="A307" s="22"/>
      <c r="B307" s="22"/>
      <c r="C307" s="22"/>
      <c r="D307" s="22"/>
      <c r="E307" s="22"/>
      <c r="F307" s="22"/>
      <c r="G307" s="41"/>
      <c r="H307" s="15">
        <v>15</v>
      </c>
      <c r="I307" s="15">
        <v>16</v>
      </c>
      <c r="J307" s="15">
        <f t="shared" ref="J307:J318" si="75">J306+1</f>
        <v>2</v>
      </c>
      <c r="K307" s="15">
        <f t="shared" si="74"/>
        <v>3</v>
      </c>
      <c r="L307" s="15">
        <v>-12.92</v>
      </c>
      <c r="M307" s="22">
        <v>9.1199999999999992</v>
      </c>
      <c r="N307" s="15">
        <f t="shared" si="67"/>
        <v>1.4166666666666667</v>
      </c>
      <c r="O307" s="22"/>
      <c r="P307" s="22"/>
      <c r="Q307" s="22"/>
      <c r="R307" s="22"/>
      <c r="S307" s="22"/>
    </row>
    <row r="308" spans="1:19" x14ac:dyDescent="0.15">
      <c r="A308" s="22"/>
      <c r="B308" s="22"/>
      <c r="C308" s="22"/>
      <c r="D308" s="22"/>
      <c r="E308" s="22"/>
      <c r="F308" s="22"/>
      <c r="G308" s="41"/>
      <c r="H308" s="15">
        <v>15</v>
      </c>
      <c r="I308" s="15">
        <v>16</v>
      </c>
      <c r="J308" s="15">
        <f t="shared" si="75"/>
        <v>3</v>
      </c>
      <c r="K308" s="15">
        <f t="shared" si="74"/>
        <v>4</v>
      </c>
      <c r="L308" s="15">
        <v>-11.62</v>
      </c>
      <c r="M308" s="22">
        <v>9.0299999999999994</v>
      </c>
      <c r="N308" s="15">
        <f t="shared" si="67"/>
        <v>1.2868217054263567</v>
      </c>
      <c r="O308" s="22"/>
      <c r="P308" s="22"/>
      <c r="Q308" s="22"/>
      <c r="R308" s="22"/>
      <c r="S308" s="22"/>
    </row>
    <row r="309" spans="1:19" x14ac:dyDescent="0.15">
      <c r="A309" s="22"/>
      <c r="B309" s="22"/>
      <c r="C309" s="22"/>
      <c r="D309" s="22"/>
      <c r="E309" s="22"/>
      <c r="F309" s="22"/>
      <c r="G309" s="41"/>
      <c r="H309" s="15">
        <v>15</v>
      </c>
      <c r="I309" s="15">
        <v>16</v>
      </c>
      <c r="J309" s="15">
        <f t="shared" si="75"/>
        <v>4</v>
      </c>
      <c r="K309" s="15">
        <f t="shared" si="74"/>
        <v>5</v>
      </c>
      <c r="L309" s="15">
        <v>-11.98</v>
      </c>
      <c r="M309" s="22">
        <v>9.15</v>
      </c>
      <c r="N309" s="15">
        <f t="shared" si="67"/>
        <v>1.3092896174863389</v>
      </c>
      <c r="O309" s="22"/>
      <c r="P309" s="22"/>
      <c r="Q309" s="22"/>
      <c r="R309" s="22"/>
      <c r="S309" s="22"/>
    </row>
    <row r="310" spans="1:19" x14ac:dyDescent="0.15">
      <c r="A310" s="22"/>
      <c r="B310" s="22"/>
      <c r="C310" s="22"/>
      <c r="D310" s="22"/>
      <c r="E310" s="22"/>
      <c r="F310" s="22"/>
      <c r="G310" s="41"/>
      <c r="H310" s="15">
        <v>15</v>
      </c>
      <c r="I310" s="15">
        <v>16</v>
      </c>
      <c r="J310" s="15">
        <f t="shared" si="75"/>
        <v>5</v>
      </c>
      <c r="K310" s="15">
        <f t="shared" si="74"/>
        <v>6</v>
      </c>
      <c r="L310" s="15">
        <v>-12.26</v>
      </c>
      <c r="M310" s="22">
        <v>9.1</v>
      </c>
      <c r="N310" s="15">
        <f t="shared" si="67"/>
        <v>1.3472527472527474</v>
      </c>
      <c r="O310" s="22"/>
      <c r="P310" s="22"/>
      <c r="Q310" s="22"/>
      <c r="R310" s="22"/>
      <c r="S310" s="22"/>
    </row>
    <row r="311" spans="1:19" x14ac:dyDescent="0.15">
      <c r="A311" s="22"/>
      <c r="B311" s="22"/>
      <c r="C311" s="22"/>
      <c r="D311" s="22"/>
      <c r="E311" s="22"/>
      <c r="F311" s="22"/>
      <c r="G311" s="41"/>
      <c r="H311" s="15">
        <v>15</v>
      </c>
      <c r="I311" s="15">
        <v>16</v>
      </c>
      <c r="J311" s="15">
        <f t="shared" si="75"/>
        <v>6</v>
      </c>
      <c r="K311" s="15">
        <f t="shared" si="74"/>
        <v>7</v>
      </c>
      <c r="L311" s="15">
        <v>-13.89</v>
      </c>
      <c r="M311" s="22">
        <v>9.0500000000000007</v>
      </c>
      <c r="N311" s="15">
        <f t="shared" si="67"/>
        <v>1.534806629834254</v>
      </c>
      <c r="O311" s="22"/>
      <c r="P311" s="22"/>
      <c r="Q311" s="22"/>
      <c r="R311" s="22"/>
      <c r="S311" s="22"/>
    </row>
    <row r="312" spans="1:19" x14ac:dyDescent="0.15">
      <c r="A312" s="22"/>
      <c r="B312" s="22"/>
      <c r="C312" s="22"/>
      <c r="D312" s="22"/>
      <c r="E312" s="22"/>
      <c r="F312" s="22"/>
      <c r="G312" s="41"/>
      <c r="H312" s="15">
        <v>15</v>
      </c>
      <c r="I312" s="15">
        <v>16</v>
      </c>
      <c r="J312" s="15">
        <f t="shared" si="75"/>
        <v>7</v>
      </c>
      <c r="K312" s="15">
        <f t="shared" si="74"/>
        <v>8</v>
      </c>
      <c r="L312" s="15">
        <v>-15.39</v>
      </c>
      <c r="M312" s="22">
        <v>8.91</v>
      </c>
      <c r="N312" s="15">
        <f t="shared" si="67"/>
        <v>1.7272727272727273</v>
      </c>
      <c r="O312" s="22"/>
      <c r="P312" s="22"/>
      <c r="Q312" s="22"/>
      <c r="R312" s="22"/>
      <c r="S312" s="22"/>
    </row>
    <row r="313" spans="1:19" x14ac:dyDescent="0.15">
      <c r="A313" s="22"/>
      <c r="B313" s="22"/>
      <c r="C313" s="22"/>
      <c r="D313" s="22"/>
      <c r="E313" s="22"/>
      <c r="F313" s="22"/>
      <c r="G313" s="41"/>
      <c r="H313" s="15">
        <v>15</v>
      </c>
      <c r="I313" s="15">
        <v>16</v>
      </c>
      <c r="J313" s="15">
        <f t="shared" si="75"/>
        <v>8</v>
      </c>
      <c r="K313" s="15">
        <f t="shared" si="74"/>
        <v>9</v>
      </c>
      <c r="L313" s="15">
        <v>-18.440000000000001</v>
      </c>
      <c r="M313" s="22">
        <v>9</v>
      </c>
      <c r="N313" s="15">
        <f t="shared" si="67"/>
        <v>2.048888888888889</v>
      </c>
      <c r="O313" s="22"/>
      <c r="P313" s="22"/>
      <c r="Q313" s="22"/>
      <c r="R313" s="22"/>
      <c r="S313" s="22"/>
    </row>
    <row r="314" spans="1:19" x14ac:dyDescent="0.15">
      <c r="A314" s="22"/>
      <c r="B314" s="22"/>
      <c r="C314" s="22"/>
      <c r="D314" s="22"/>
      <c r="E314" s="22"/>
      <c r="F314" s="22"/>
      <c r="G314" s="41"/>
      <c r="H314" s="15">
        <v>15</v>
      </c>
      <c r="I314" s="15">
        <v>16</v>
      </c>
      <c r="J314" s="15">
        <f t="shared" si="75"/>
        <v>9</v>
      </c>
      <c r="K314" s="15">
        <f t="shared" si="74"/>
        <v>10</v>
      </c>
      <c r="L314" s="15">
        <v>-25.41</v>
      </c>
      <c r="M314" s="22">
        <v>9.24</v>
      </c>
      <c r="N314" s="15">
        <f t="shared" si="67"/>
        <v>2.75</v>
      </c>
      <c r="O314" s="22"/>
      <c r="P314" s="22"/>
      <c r="Q314" s="22"/>
      <c r="R314" s="22"/>
      <c r="S314" s="22"/>
    </row>
    <row r="315" spans="1:19" x14ac:dyDescent="0.15">
      <c r="A315" s="22"/>
      <c r="B315" s="22"/>
      <c r="C315" s="22"/>
      <c r="D315" s="22"/>
      <c r="E315" s="22"/>
      <c r="F315" s="22"/>
      <c r="G315" s="41"/>
      <c r="H315" s="15">
        <v>15</v>
      </c>
      <c r="I315" s="15">
        <v>16</v>
      </c>
      <c r="J315" s="15">
        <f t="shared" si="75"/>
        <v>10</v>
      </c>
      <c r="K315" s="15">
        <f t="shared" si="74"/>
        <v>11</v>
      </c>
      <c r="L315" s="15">
        <v>-39.869999999999997</v>
      </c>
      <c r="M315" s="22">
        <v>9.43</v>
      </c>
      <c r="N315" s="15">
        <f t="shared" si="67"/>
        <v>4.2279957582184515</v>
      </c>
      <c r="O315" s="22"/>
      <c r="P315" s="22"/>
      <c r="Q315" s="22"/>
      <c r="R315" s="22"/>
      <c r="S315" s="22"/>
    </row>
    <row r="316" spans="1:19" x14ac:dyDescent="0.15">
      <c r="A316" s="22"/>
      <c r="B316" s="22"/>
      <c r="C316" s="22"/>
      <c r="D316" s="22"/>
      <c r="E316" s="22"/>
      <c r="F316" s="22"/>
      <c r="G316" s="41"/>
      <c r="H316" s="15">
        <v>15</v>
      </c>
      <c r="I316" s="15">
        <v>16</v>
      </c>
      <c r="J316" s="15">
        <f t="shared" si="75"/>
        <v>11</v>
      </c>
      <c r="K316" s="15">
        <f t="shared" si="74"/>
        <v>12</v>
      </c>
      <c r="L316" s="15">
        <v>-66.69</v>
      </c>
      <c r="M316" s="22">
        <v>9.43</v>
      </c>
      <c r="N316" s="15">
        <f t="shared" si="67"/>
        <v>7.0721102863202541</v>
      </c>
      <c r="O316" s="22"/>
      <c r="P316" s="22"/>
      <c r="Q316" s="22"/>
      <c r="R316" s="22"/>
      <c r="S316" s="22"/>
    </row>
    <row r="317" spans="1:19" x14ac:dyDescent="0.15">
      <c r="A317" s="22"/>
      <c r="B317" s="22"/>
      <c r="C317" s="22"/>
      <c r="D317" s="22"/>
      <c r="E317" s="22"/>
      <c r="F317" s="22"/>
      <c r="G317" s="41"/>
      <c r="H317" s="15">
        <v>15</v>
      </c>
      <c r="I317" s="15">
        <v>16</v>
      </c>
      <c r="J317" s="15">
        <f t="shared" si="75"/>
        <v>12</v>
      </c>
      <c r="K317" s="15">
        <f t="shared" si="74"/>
        <v>13</v>
      </c>
      <c r="L317" s="15">
        <v>-154.04</v>
      </c>
      <c r="M317" s="22">
        <v>9.06</v>
      </c>
      <c r="N317" s="15">
        <f t="shared" si="67"/>
        <v>17.002207505518761</v>
      </c>
      <c r="O317" s="22"/>
      <c r="P317" s="22"/>
      <c r="Q317" s="22"/>
      <c r="R317" s="22"/>
      <c r="S317" s="22"/>
    </row>
    <row r="318" spans="1:19" x14ac:dyDescent="0.15">
      <c r="A318" s="22"/>
      <c r="B318" s="22"/>
      <c r="C318" s="22"/>
      <c r="D318" s="22"/>
      <c r="E318" s="22"/>
      <c r="F318" s="22"/>
      <c r="G318" s="41"/>
      <c r="H318" s="15">
        <v>15</v>
      </c>
      <c r="I318" s="15">
        <v>16</v>
      </c>
      <c r="J318" s="15">
        <f t="shared" si="75"/>
        <v>13</v>
      </c>
      <c r="K318" s="15">
        <f t="shared" si="74"/>
        <v>14</v>
      </c>
      <c r="L318" s="15">
        <v>-610.52</v>
      </c>
      <c r="M318" s="22">
        <v>9.24</v>
      </c>
      <c r="N318" s="15">
        <f t="shared" si="67"/>
        <v>66.073593073593074</v>
      </c>
      <c r="O318" s="22"/>
      <c r="P318" s="22"/>
      <c r="Q318" s="22"/>
      <c r="R318" s="22"/>
      <c r="S318" s="22"/>
    </row>
    <row r="319" spans="1:19" x14ac:dyDescent="0.15">
      <c r="A319" s="22"/>
      <c r="B319" s="22"/>
      <c r="C319" s="22"/>
      <c r="D319" s="22"/>
      <c r="E319" s="22"/>
      <c r="F319" s="22"/>
      <c r="G319" s="41"/>
      <c r="H319" s="15">
        <v>16</v>
      </c>
      <c r="I319" s="15">
        <v>17</v>
      </c>
      <c r="J319" s="15">
        <f>I319+1</f>
        <v>18</v>
      </c>
      <c r="K319" s="15">
        <f>J319+1</f>
        <v>19</v>
      </c>
      <c r="L319" s="15">
        <v>-475.36</v>
      </c>
      <c r="M319" s="22">
        <v>7.18</v>
      </c>
      <c r="N319" s="15">
        <f t="shared" si="67"/>
        <v>66.206128133704738</v>
      </c>
      <c r="O319" s="22"/>
      <c r="P319" s="22"/>
      <c r="Q319" s="22"/>
      <c r="R319" s="22"/>
      <c r="S319" s="22"/>
    </row>
    <row r="320" spans="1:19" x14ac:dyDescent="0.15">
      <c r="A320" s="22"/>
      <c r="B320" s="22"/>
      <c r="C320" s="22"/>
      <c r="D320" s="22"/>
      <c r="E320" s="22"/>
      <c r="F320" s="22"/>
      <c r="G320" s="41"/>
      <c r="H320" s="15">
        <v>16</v>
      </c>
      <c r="I320" s="15">
        <v>17</v>
      </c>
      <c r="J320" s="15">
        <f t="shared" ref="J320:K324" si="76">J319+1</f>
        <v>19</v>
      </c>
      <c r="K320" s="15">
        <f t="shared" si="76"/>
        <v>20</v>
      </c>
      <c r="L320" s="15">
        <v>-102.4</v>
      </c>
      <c r="M320" s="22">
        <v>7.32</v>
      </c>
      <c r="N320" s="15">
        <f t="shared" si="67"/>
        <v>13.989071038251366</v>
      </c>
      <c r="O320" s="22"/>
      <c r="P320" s="22"/>
      <c r="Q320" s="22"/>
      <c r="R320" s="22"/>
      <c r="S320" s="22"/>
    </row>
    <row r="321" spans="1:19" x14ac:dyDescent="0.15">
      <c r="A321" s="22"/>
      <c r="B321" s="22"/>
      <c r="C321" s="22"/>
      <c r="D321" s="22"/>
      <c r="E321" s="22"/>
      <c r="F321" s="22"/>
      <c r="G321" s="41"/>
      <c r="H321" s="15">
        <v>16</v>
      </c>
      <c r="I321" s="15">
        <v>17</v>
      </c>
      <c r="J321" s="15">
        <f t="shared" si="76"/>
        <v>20</v>
      </c>
      <c r="K321" s="15">
        <f t="shared" si="76"/>
        <v>21</v>
      </c>
      <c r="L321" s="15">
        <v>-48.14</v>
      </c>
      <c r="M321" s="22">
        <v>7.63</v>
      </c>
      <c r="N321" s="15">
        <f t="shared" si="67"/>
        <v>6.3093053735255573</v>
      </c>
      <c r="O321" s="22"/>
      <c r="P321" s="22"/>
      <c r="Q321" s="22"/>
      <c r="R321" s="22"/>
      <c r="S321" s="22"/>
    </row>
    <row r="322" spans="1:19" x14ac:dyDescent="0.15">
      <c r="A322" s="22"/>
      <c r="B322" s="22"/>
      <c r="C322" s="22"/>
      <c r="D322" s="22"/>
      <c r="E322" s="22"/>
      <c r="F322" s="22"/>
      <c r="G322" s="41"/>
      <c r="H322" s="15">
        <v>16</v>
      </c>
      <c r="I322" s="15">
        <v>17</v>
      </c>
      <c r="J322" s="15">
        <f t="shared" si="76"/>
        <v>21</v>
      </c>
      <c r="K322" s="15">
        <f t="shared" si="76"/>
        <v>22</v>
      </c>
      <c r="L322" s="15">
        <v>-28.93</v>
      </c>
      <c r="M322" s="22">
        <v>7.65</v>
      </c>
      <c r="N322" s="15">
        <f t="shared" si="67"/>
        <v>3.7816993464052286</v>
      </c>
      <c r="O322" s="22"/>
      <c r="P322" s="22"/>
      <c r="Q322" s="22"/>
      <c r="R322" s="22"/>
      <c r="S322" s="22"/>
    </row>
    <row r="323" spans="1:19" x14ac:dyDescent="0.15">
      <c r="A323" s="22"/>
      <c r="B323" s="22"/>
      <c r="C323" s="22"/>
      <c r="D323" s="22"/>
      <c r="E323" s="22"/>
      <c r="F323" s="22"/>
      <c r="G323" s="41"/>
      <c r="H323" s="15">
        <v>16</v>
      </c>
      <c r="I323" s="15">
        <v>17</v>
      </c>
      <c r="J323" s="15">
        <f t="shared" si="76"/>
        <v>22</v>
      </c>
      <c r="K323" s="15">
        <f t="shared" si="76"/>
        <v>23</v>
      </c>
      <c r="L323" s="15">
        <v>-16.66</v>
      </c>
      <c r="M323" s="22">
        <v>7.73</v>
      </c>
      <c r="N323" s="15">
        <f t="shared" si="67"/>
        <v>2.1552393272962482</v>
      </c>
      <c r="O323" s="22"/>
      <c r="P323" s="22"/>
      <c r="Q323" s="22"/>
      <c r="R323" s="22"/>
      <c r="S323" s="22"/>
    </row>
    <row r="324" spans="1:19" x14ac:dyDescent="0.15">
      <c r="A324" s="22"/>
      <c r="B324" s="22"/>
      <c r="C324" s="22"/>
      <c r="D324" s="22"/>
      <c r="E324" s="22"/>
      <c r="F324" s="22"/>
      <c r="G324" s="41"/>
      <c r="H324" s="15">
        <v>16</v>
      </c>
      <c r="I324" s="15">
        <v>17</v>
      </c>
      <c r="J324" s="15">
        <f t="shared" si="76"/>
        <v>23</v>
      </c>
      <c r="K324" s="15">
        <f t="shared" si="76"/>
        <v>24</v>
      </c>
      <c r="L324" s="15">
        <v>-13.74</v>
      </c>
      <c r="M324" s="22">
        <v>7.7</v>
      </c>
      <c r="N324" s="15">
        <f t="shared" si="67"/>
        <v>1.7844155844155845</v>
      </c>
      <c r="O324" s="22"/>
      <c r="P324" s="22"/>
      <c r="Q324" s="22"/>
      <c r="R324" s="22"/>
      <c r="S324" s="22"/>
    </row>
    <row r="325" spans="1:19" x14ac:dyDescent="0.15">
      <c r="A325" s="22"/>
      <c r="B325" s="22"/>
      <c r="C325" s="22"/>
      <c r="D325" s="22"/>
      <c r="E325" s="22"/>
      <c r="F325" s="22"/>
      <c r="G325" s="41"/>
      <c r="H325" s="15">
        <v>16</v>
      </c>
      <c r="I325" s="15">
        <v>17</v>
      </c>
      <c r="J325" s="15">
        <f>J324+1</f>
        <v>24</v>
      </c>
      <c r="K325" s="15">
        <v>1</v>
      </c>
      <c r="L325" s="15">
        <v>-12.9</v>
      </c>
      <c r="M325" s="22">
        <v>7.73</v>
      </c>
      <c r="N325" s="15">
        <f t="shared" ref="N325:N388" si="77">-L325/M325</f>
        <v>1.6688227684346701</v>
      </c>
      <c r="O325" s="22"/>
      <c r="P325" s="22"/>
      <c r="Q325" s="22"/>
      <c r="R325" s="22"/>
      <c r="S325" s="22"/>
    </row>
    <row r="326" spans="1:19" x14ac:dyDescent="0.15">
      <c r="A326" s="22"/>
      <c r="B326" s="22"/>
      <c r="C326" s="22"/>
      <c r="D326" s="22"/>
      <c r="E326" s="22"/>
      <c r="F326" s="22"/>
      <c r="G326" s="41"/>
      <c r="H326" s="15">
        <v>16</v>
      </c>
      <c r="I326" s="15">
        <v>17</v>
      </c>
      <c r="J326" s="15">
        <v>1</v>
      </c>
      <c r="K326" s="15">
        <f t="shared" ref="K326:K339" si="78">K325+1</f>
        <v>2</v>
      </c>
      <c r="L326" s="15">
        <v>-11.7</v>
      </c>
      <c r="M326" s="22">
        <v>8.0500000000000007</v>
      </c>
      <c r="N326" s="15">
        <f t="shared" si="77"/>
        <v>1.4534161490683228</v>
      </c>
      <c r="O326" s="22"/>
      <c r="P326" s="22"/>
      <c r="Q326" s="22"/>
      <c r="R326" s="22"/>
      <c r="S326" s="22"/>
    </row>
    <row r="327" spans="1:19" x14ac:dyDescent="0.15">
      <c r="A327" s="22"/>
      <c r="B327" s="22"/>
      <c r="C327" s="22"/>
      <c r="D327" s="22"/>
      <c r="E327" s="22"/>
      <c r="F327" s="22"/>
      <c r="G327" s="41"/>
      <c r="H327" s="15">
        <v>16</v>
      </c>
      <c r="I327" s="15">
        <v>17</v>
      </c>
      <c r="J327" s="15">
        <f t="shared" ref="J327:J339" si="79">J326+1</f>
        <v>2</v>
      </c>
      <c r="K327" s="15">
        <f t="shared" si="78"/>
        <v>3</v>
      </c>
      <c r="L327" s="15">
        <v>-9.85</v>
      </c>
      <c r="M327" s="22">
        <v>8.1</v>
      </c>
      <c r="N327" s="15">
        <f t="shared" si="77"/>
        <v>1.2160493827160495</v>
      </c>
      <c r="O327" s="22"/>
      <c r="P327" s="22"/>
      <c r="Q327" s="22"/>
      <c r="R327" s="22"/>
      <c r="S327" s="22"/>
    </row>
    <row r="328" spans="1:19" x14ac:dyDescent="0.15">
      <c r="A328" s="22"/>
      <c r="B328" s="22"/>
      <c r="C328" s="22"/>
      <c r="D328" s="22"/>
      <c r="E328" s="22"/>
      <c r="F328" s="22"/>
      <c r="G328" s="41"/>
      <c r="H328" s="15">
        <v>16</v>
      </c>
      <c r="I328" s="15">
        <v>17</v>
      </c>
      <c r="J328" s="15">
        <f t="shared" si="79"/>
        <v>3</v>
      </c>
      <c r="K328" s="15">
        <f t="shared" si="78"/>
        <v>4</v>
      </c>
      <c r="L328" s="15">
        <v>-9.9600000000000009</v>
      </c>
      <c r="M328" s="22">
        <v>8.01</v>
      </c>
      <c r="N328" s="15">
        <f t="shared" si="77"/>
        <v>1.2434456928838953</v>
      </c>
      <c r="O328" s="22"/>
      <c r="P328" s="22"/>
      <c r="Q328" s="22"/>
      <c r="R328" s="22"/>
      <c r="S328" s="22"/>
    </row>
    <row r="329" spans="1:19" x14ac:dyDescent="0.15">
      <c r="A329" s="22"/>
      <c r="B329" s="22"/>
      <c r="C329" s="22"/>
      <c r="D329" s="22"/>
      <c r="E329" s="22"/>
      <c r="F329" s="22"/>
      <c r="G329" s="41"/>
      <c r="H329" s="15">
        <v>16</v>
      </c>
      <c r="I329" s="15">
        <v>17</v>
      </c>
      <c r="J329" s="15">
        <f t="shared" si="79"/>
        <v>4</v>
      </c>
      <c r="K329" s="15">
        <f t="shared" si="78"/>
        <v>5</v>
      </c>
      <c r="L329" s="15">
        <v>-9.8000000000000007</v>
      </c>
      <c r="M329" s="22">
        <v>7.93</v>
      </c>
      <c r="N329" s="15">
        <f t="shared" si="77"/>
        <v>1.2358133669609082</v>
      </c>
      <c r="O329" s="22"/>
      <c r="P329" s="22"/>
      <c r="Q329" s="22"/>
      <c r="R329" s="22"/>
      <c r="S329" s="22"/>
    </row>
    <row r="330" spans="1:19" x14ac:dyDescent="0.15">
      <c r="A330" s="22"/>
      <c r="B330" s="22"/>
      <c r="C330" s="22"/>
      <c r="D330" s="22"/>
      <c r="E330" s="22"/>
      <c r="F330" s="22"/>
      <c r="G330" s="41"/>
      <c r="H330" s="15">
        <v>16</v>
      </c>
      <c r="I330" s="15">
        <v>17</v>
      </c>
      <c r="J330" s="15">
        <f t="shared" si="79"/>
        <v>5</v>
      </c>
      <c r="K330" s="15">
        <f t="shared" si="78"/>
        <v>6</v>
      </c>
      <c r="L330" s="15">
        <v>-9.8800000000000008</v>
      </c>
      <c r="M330" s="22">
        <v>7.75</v>
      </c>
      <c r="N330" s="15">
        <f t="shared" si="77"/>
        <v>1.2748387096774194</v>
      </c>
      <c r="O330" s="22"/>
      <c r="P330" s="22"/>
      <c r="Q330" s="22"/>
      <c r="R330" s="22"/>
      <c r="S330" s="22"/>
    </row>
    <row r="331" spans="1:19" x14ac:dyDescent="0.15">
      <c r="A331" s="22"/>
      <c r="B331" s="22"/>
      <c r="C331" s="22"/>
      <c r="D331" s="22"/>
      <c r="E331" s="22"/>
      <c r="F331" s="22"/>
      <c r="G331" s="41"/>
      <c r="H331" s="15">
        <v>16</v>
      </c>
      <c r="I331" s="15">
        <v>17</v>
      </c>
      <c r="J331" s="15">
        <f t="shared" si="79"/>
        <v>6</v>
      </c>
      <c r="K331" s="15">
        <f t="shared" si="78"/>
        <v>7</v>
      </c>
      <c r="L331" s="15">
        <v>-9.6999999999999993</v>
      </c>
      <c r="M331" s="22">
        <v>7.85</v>
      </c>
      <c r="N331" s="15">
        <f t="shared" si="77"/>
        <v>1.2356687898089171</v>
      </c>
      <c r="O331" s="22"/>
      <c r="P331" s="22"/>
      <c r="Q331" s="22"/>
      <c r="R331" s="22"/>
      <c r="S331" s="22"/>
    </row>
    <row r="332" spans="1:19" x14ac:dyDescent="0.15">
      <c r="A332" s="22"/>
      <c r="B332" s="22"/>
      <c r="C332" s="22"/>
      <c r="D332" s="22"/>
      <c r="E332" s="22"/>
      <c r="F332" s="22"/>
      <c r="G332" s="41"/>
      <c r="H332" s="15">
        <v>16</v>
      </c>
      <c r="I332" s="15">
        <v>17</v>
      </c>
      <c r="J332" s="15">
        <f t="shared" si="79"/>
        <v>7</v>
      </c>
      <c r="K332" s="15">
        <f t="shared" si="78"/>
        <v>8</v>
      </c>
      <c r="L332" s="15">
        <v>-10.72</v>
      </c>
      <c r="M332" s="22">
        <v>7.68</v>
      </c>
      <c r="N332" s="15">
        <f t="shared" si="77"/>
        <v>1.3958333333333335</v>
      </c>
      <c r="O332" s="22"/>
      <c r="P332" s="22"/>
      <c r="Q332" s="22"/>
      <c r="R332" s="22"/>
      <c r="S332" s="22"/>
    </row>
    <row r="333" spans="1:19" x14ac:dyDescent="0.15">
      <c r="A333" s="22"/>
      <c r="B333" s="22"/>
      <c r="C333" s="22"/>
      <c r="D333" s="22"/>
      <c r="E333" s="22"/>
      <c r="F333" s="22"/>
      <c r="G333" s="41"/>
      <c r="H333" s="15">
        <v>16</v>
      </c>
      <c r="I333" s="15">
        <v>17</v>
      </c>
      <c r="J333" s="15">
        <f t="shared" si="79"/>
        <v>8</v>
      </c>
      <c r="K333" s="15">
        <f t="shared" si="78"/>
        <v>9</v>
      </c>
      <c r="L333" s="15">
        <v>-11.5</v>
      </c>
      <c r="M333" s="22">
        <v>7.37</v>
      </c>
      <c r="N333" s="15">
        <f t="shared" si="77"/>
        <v>1.5603799185888738</v>
      </c>
      <c r="O333" s="22"/>
      <c r="P333" s="22"/>
      <c r="Q333" s="22"/>
      <c r="R333" s="22"/>
      <c r="S333" s="22"/>
    </row>
    <row r="334" spans="1:19" x14ac:dyDescent="0.15">
      <c r="A334" s="22"/>
      <c r="B334" s="22"/>
      <c r="C334" s="22"/>
      <c r="D334" s="22"/>
      <c r="E334" s="22"/>
      <c r="F334" s="22"/>
      <c r="G334" s="41"/>
      <c r="H334" s="15">
        <v>16</v>
      </c>
      <c r="I334" s="15">
        <v>17</v>
      </c>
      <c r="J334" s="15">
        <f t="shared" si="79"/>
        <v>9</v>
      </c>
      <c r="K334" s="15">
        <f t="shared" si="78"/>
        <v>10</v>
      </c>
      <c r="L334" s="15">
        <v>-14.42</v>
      </c>
      <c r="M334" s="22">
        <v>7.21</v>
      </c>
      <c r="N334" s="15">
        <f t="shared" si="77"/>
        <v>2</v>
      </c>
      <c r="O334" s="22"/>
      <c r="P334" s="22"/>
      <c r="Q334" s="22"/>
      <c r="R334" s="22"/>
      <c r="S334" s="22"/>
    </row>
    <row r="335" spans="1:19" x14ac:dyDescent="0.15">
      <c r="A335" s="22"/>
      <c r="B335" s="22"/>
      <c r="C335" s="22"/>
      <c r="D335" s="22"/>
      <c r="E335" s="22"/>
      <c r="F335" s="22"/>
      <c r="G335" s="41"/>
      <c r="H335" s="15">
        <v>16</v>
      </c>
      <c r="I335" s="15">
        <v>17</v>
      </c>
      <c r="J335" s="15">
        <f t="shared" si="79"/>
        <v>10</v>
      </c>
      <c r="K335" s="15">
        <f t="shared" si="78"/>
        <v>11</v>
      </c>
      <c r="L335" s="15">
        <v>-14.4</v>
      </c>
      <c r="M335" s="22">
        <v>7.16</v>
      </c>
      <c r="N335" s="15">
        <f t="shared" si="77"/>
        <v>2.011173184357542</v>
      </c>
      <c r="O335" s="22"/>
      <c r="P335" s="22"/>
      <c r="Q335" s="22"/>
      <c r="R335" s="22"/>
      <c r="S335" s="22"/>
    </row>
    <row r="336" spans="1:19" x14ac:dyDescent="0.15">
      <c r="A336" s="22"/>
      <c r="B336" s="22"/>
      <c r="C336" s="22"/>
      <c r="D336" s="22"/>
      <c r="E336" s="22"/>
      <c r="F336" s="22"/>
      <c r="G336" s="41"/>
      <c r="H336" s="15">
        <v>16</v>
      </c>
      <c r="I336" s="15">
        <v>17</v>
      </c>
      <c r="J336" s="15">
        <f t="shared" si="79"/>
        <v>11</v>
      </c>
      <c r="K336" s="15">
        <f t="shared" si="78"/>
        <v>12</v>
      </c>
      <c r="L336" s="15">
        <v>-27.17</v>
      </c>
      <c r="M336" s="22">
        <v>7.15</v>
      </c>
      <c r="N336" s="15">
        <f t="shared" si="77"/>
        <v>3.8000000000000003</v>
      </c>
      <c r="O336" s="22"/>
      <c r="P336" s="22"/>
      <c r="Q336" s="22"/>
      <c r="R336" s="22"/>
      <c r="S336" s="22"/>
    </row>
    <row r="337" spans="1:19" x14ac:dyDescent="0.15">
      <c r="A337" s="22"/>
      <c r="B337" s="22"/>
      <c r="C337" s="22"/>
      <c r="D337" s="22"/>
      <c r="E337" s="22"/>
      <c r="F337" s="22"/>
      <c r="G337" s="41"/>
      <c r="H337" s="15">
        <v>16</v>
      </c>
      <c r="I337" s="15">
        <v>17</v>
      </c>
      <c r="J337" s="15">
        <f t="shared" si="79"/>
        <v>12</v>
      </c>
      <c r="K337" s="15">
        <f t="shared" si="78"/>
        <v>13</v>
      </c>
      <c r="L337" s="15">
        <v>-46.35</v>
      </c>
      <c r="M337" s="22">
        <v>6.88</v>
      </c>
      <c r="N337" s="15">
        <f t="shared" si="77"/>
        <v>6.7369186046511631</v>
      </c>
      <c r="O337" s="22"/>
      <c r="P337" s="22"/>
      <c r="Q337" s="22"/>
      <c r="R337" s="22"/>
      <c r="S337" s="22"/>
    </row>
    <row r="338" spans="1:19" x14ac:dyDescent="0.15">
      <c r="A338" s="22"/>
      <c r="B338" s="22"/>
      <c r="C338" s="22"/>
      <c r="D338" s="22"/>
      <c r="E338" s="22"/>
      <c r="F338" s="22"/>
      <c r="G338" s="41"/>
      <c r="H338" s="15">
        <v>16</v>
      </c>
      <c r="I338" s="15">
        <v>17</v>
      </c>
      <c r="J338" s="15">
        <f t="shared" si="79"/>
        <v>13</v>
      </c>
      <c r="K338" s="15">
        <f t="shared" si="78"/>
        <v>14</v>
      </c>
      <c r="L338" s="15">
        <v>-113.3</v>
      </c>
      <c r="M338" s="22">
        <v>6.81</v>
      </c>
      <c r="N338" s="15">
        <f t="shared" si="77"/>
        <v>16.637298091042585</v>
      </c>
      <c r="O338" s="22"/>
      <c r="P338" s="22"/>
      <c r="Q338" s="22"/>
      <c r="R338" s="22"/>
      <c r="S338" s="22"/>
    </row>
    <row r="339" spans="1:19" x14ac:dyDescent="0.15">
      <c r="A339" s="22"/>
      <c r="B339" s="22"/>
      <c r="C339" s="22"/>
      <c r="D339" s="22"/>
      <c r="E339" s="22"/>
      <c r="F339" s="22"/>
      <c r="G339" s="41"/>
      <c r="H339" s="15">
        <v>16</v>
      </c>
      <c r="I339" s="15">
        <v>17</v>
      </c>
      <c r="J339" s="15">
        <f t="shared" si="79"/>
        <v>14</v>
      </c>
      <c r="K339" s="15">
        <f t="shared" si="78"/>
        <v>15</v>
      </c>
      <c r="L339" s="15">
        <v>-418.8</v>
      </c>
      <c r="M339" s="22">
        <v>6.8</v>
      </c>
      <c r="N339" s="15">
        <f t="shared" si="77"/>
        <v>61.588235294117652</v>
      </c>
      <c r="O339" s="22"/>
      <c r="P339" s="22"/>
      <c r="Q339" s="22"/>
      <c r="R339" s="22"/>
      <c r="S339" s="22"/>
    </row>
    <row r="340" spans="1:19" x14ac:dyDescent="0.15">
      <c r="A340" s="22"/>
      <c r="B340" s="22"/>
      <c r="C340" s="22"/>
      <c r="D340" s="22"/>
      <c r="E340" s="22"/>
      <c r="F340" s="22"/>
      <c r="G340" s="41"/>
      <c r="H340" s="15">
        <v>17</v>
      </c>
      <c r="I340" s="15">
        <v>18</v>
      </c>
      <c r="J340" s="15">
        <f>I340+1</f>
        <v>19</v>
      </c>
      <c r="K340" s="15">
        <f>J340+1</f>
        <v>20</v>
      </c>
      <c r="L340" s="15">
        <v>-383.61</v>
      </c>
      <c r="M340" s="22">
        <v>7.31</v>
      </c>
      <c r="N340" s="15">
        <f t="shared" si="77"/>
        <v>52.477428180574563</v>
      </c>
      <c r="O340" s="22"/>
      <c r="P340" s="22"/>
      <c r="Q340" s="22"/>
      <c r="R340" s="22"/>
      <c r="S340" s="22"/>
    </row>
    <row r="341" spans="1:19" x14ac:dyDescent="0.15">
      <c r="A341" s="22"/>
      <c r="B341" s="22"/>
      <c r="C341" s="22"/>
      <c r="D341" s="22"/>
      <c r="E341" s="22"/>
      <c r="F341" s="22"/>
      <c r="G341" s="41"/>
      <c r="H341" s="15">
        <v>17</v>
      </c>
      <c r="I341" s="15">
        <v>18</v>
      </c>
      <c r="J341" s="15">
        <f t="shared" ref="J341:K344" si="80">J340+1</f>
        <v>20</v>
      </c>
      <c r="K341" s="15">
        <f t="shared" si="80"/>
        <v>21</v>
      </c>
      <c r="L341" s="15">
        <v>-122.88</v>
      </c>
      <c r="M341" s="22">
        <v>8.18</v>
      </c>
      <c r="N341" s="15">
        <f t="shared" si="77"/>
        <v>15.02200488997555</v>
      </c>
      <c r="O341" s="22"/>
      <c r="P341" s="22"/>
      <c r="Q341" s="22"/>
      <c r="R341" s="22"/>
      <c r="S341" s="22"/>
    </row>
    <row r="342" spans="1:19" x14ac:dyDescent="0.15">
      <c r="A342" s="22"/>
      <c r="B342" s="22"/>
      <c r="C342" s="22"/>
      <c r="D342" s="22"/>
      <c r="E342" s="22"/>
      <c r="F342" s="22"/>
      <c r="G342" s="41"/>
      <c r="H342" s="15">
        <v>17</v>
      </c>
      <c r="I342" s="15">
        <v>18</v>
      </c>
      <c r="J342" s="15">
        <f t="shared" si="80"/>
        <v>21</v>
      </c>
      <c r="K342" s="15">
        <f t="shared" si="80"/>
        <v>22</v>
      </c>
      <c r="L342" s="15">
        <v>-60.6</v>
      </c>
      <c r="M342" s="22">
        <v>8.4700000000000006</v>
      </c>
      <c r="N342" s="15">
        <f t="shared" si="77"/>
        <v>7.1546635182998815</v>
      </c>
      <c r="O342" s="22"/>
      <c r="P342" s="22"/>
      <c r="Q342" s="22"/>
      <c r="R342" s="22"/>
      <c r="S342" s="22"/>
    </row>
    <row r="343" spans="1:19" x14ac:dyDescent="0.15">
      <c r="A343" s="22"/>
      <c r="B343" s="22"/>
      <c r="C343" s="22"/>
      <c r="D343" s="22"/>
      <c r="E343" s="22"/>
      <c r="F343" s="22"/>
      <c r="G343" s="41"/>
      <c r="H343" s="15">
        <v>17</v>
      </c>
      <c r="I343" s="15">
        <v>18</v>
      </c>
      <c r="J343" s="15">
        <f t="shared" si="80"/>
        <v>22</v>
      </c>
      <c r="K343" s="15">
        <f t="shared" si="80"/>
        <v>23</v>
      </c>
      <c r="L343" s="15">
        <v>-35.15</v>
      </c>
      <c r="M343" s="22">
        <v>8.6300000000000008</v>
      </c>
      <c r="N343" s="15">
        <f t="shared" si="77"/>
        <v>4.0730011587485508</v>
      </c>
      <c r="O343" s="22"/>
      <c r="P343" s="22"/>
      <c r="Q343" s="22"/>
      <c r="R343" s="22"/>
      <c r="S343" s="22"/>
    </row>
    <row r="344" spans="1:19" x14ac:dyDescent="0.15">
      <c r="A344" s="22"/>
      <c r="B344" s="22"/>
      <c r="C344" s="22"/>
      <c r="D344" s="22"/>
      <c r="E344" s="22"/>
      <c r="F344" s="22"/>
      <c r="G344" s="41"/>
      <c r="H344" s="15">
        <v>17</v>
      </c>
      <c r="I344" s="15">
        <v>18</v>
      </c>
      <c r="J344" s="15">
        <f t="shared" si="80"/>
        <v>23</v>
      </c>
      <c r="K344" s="15">
        <f t="shared" si="80"/>
        <v>24</v>
      </c>
      <c r="L344" s="15">
        <v>-20.66</v>
      </c>
      <c r="M344" s="22">
        <v>8.52</v>
      </c>
      <c r="N344" s="15">
        <f t="shared" si="77"/>
        <v>2.4248826291079815</v>
      </c>
      <c r="O344" s="22"/>
      <c r="P344" s="22"/>
      <c r="Q344" s="22"/>
      <c r="R344" s="22"/>
      <c r="S344" s="22"/>
    </row>
    <row r="345" spans="1:19" x14ac:dyDescent="0.15">
      <c r="A345" s="22"/>
      <c r="B345" s="22"/>
      <c r="C345" s="22"/>
      <c r="D345" s="22"/>
      <c r="E345" s="22"/>
      <c r="F345" s="22"/>
      <c r="G345" s="41"/>
      <c r="H345" s="15">
        <v>17</v>
      </c>
      <c r="I345" s="15">
        <v>18</v>
      </c>
      <c r="J345" s="15">
        <f>J344+1</f>
        <v>24</v>
      </c>
      <c r="K345" s="15">
        <v>1</v>
      </c>
      <c r="L345" s="15">
        <v>-18.600000000000001</v>
      </c>
      <c r="M345" s="22">
        <v>8.61</v>
      </c>
      <c r="N345" s="15">
        <f t="shared" si="77"/>
        <v>2.1602787456445998</v>
      </c>
      <c r="O345" s="22"/>
      <c r="P345" s="22"/>
      <c r="Q345" s="22"/>
      <c r="R345" s="22"/>
      <c r="S345" s="22"/>
    </row>
    <row r="346" spans="1:19" x14ac:dyDescent="0.15">
      <c r="A346" s="22"/>
      <c r="B346" s="22"/>
      <c r="C346" s="22"/>
      <c r="D346" s="22"/>
      <c r="E346" s="22"/>
      <c r="F346" s="22"/>
      <c r="G346" s="41"/>
      <c r="H346" s="15">
        <v>17</v>
      </c>
      <c r="I346" s="15">
        <v>18</v>
      </c>
      <c r="J346" s="15">
        <v>1</v>
      </c>
      <c r="K346" s="15">
        <f t="shared" ref="K346:K360" si="81">K345+1</f>
        <v>2</v>
      </c>
      <c r="L346" s="15">
        <v>-16.46</v>
      </c>
      <c r="M346" s="22">
        <v>8.19</v>
      </c>
      <c r="N346" s="15">
        <f t="shared" si="77"/>
        <v>2.0097680097680102</v>
      </c>
      <c r="O346" s="22"/>
      <c r="P346" s="22"/>
      <c r="Q346" s="22"/>
      <c r="R346" s="22"/>
      <c r="S346" s="22"/>
    </row>
    <row r="347" spans="1:19" x14ac:dyDescent="0.15">
      <c r="A347" s="22"/>
      <c r="B347" s="22"/>
      <c r="C347" s="22"/>
      <c r="D347" s="22"/>
      <c r="E347" s="22"/>
      <c r="F347" s="22"/>
      <c r="G347" s="41"/>
      <c r="H347" s="15">
        <v>17</v>
      </c>
      <c r="I347" s="15">
        <v>18</v>
      </c>
      <c r="J347" s="15">
        <f t="shared" ref="J347:J360" si="82">J346+1</f>
        <v>2</v>
      </c>
      <c r="K347" s="15">
        <f t="shared" si="81"/>
        <v>3</v>
      </c>
      <c r="L347" s="15">
        <v>-18.16</v>
      </c>
      <c r="M347" s="22">
        <v>8.49</v>
      </c>
      <c r="N347" s="15">
        <f t="shared" si="77"/>
        <v>2.1389870435806833</v>
      </c>
      <c r="O347" s="22"/>
      <c r="P347" s="22"/>
      <c r="Q347" s="22"/>
      <c r="R347" s="22"/>
      <c r="S347" s="22"/>
    </row>
    <row r="348" spans="1:19" x14ac:dyDescent="0.15">
      <c r="A348" s="22"/>
      <c r="B348" s="22"/>
      <c r="C348" s="22"/>
      <c r="D348" s="22"/>
      <c r="E348" s="22"/>
      <c r="F348" s="22"/>
      <c r="G348" s="41"/>
      <c r="H348" s="15">
        <v>17</v>
      </c>
      <c r="I348" s="15">
        <v>18</v>
      </c>
      <c r="J348" s="15">
        <f t="shared" si="82"/>
        <v>3</v>
      </c>
      <c r="K348" s="15">
        <f t="shared" si="81"/>
        <v>4</v>
      </c>
      <c r="L348" s="15">
        <v>-11.2</v>
      </c>
      <c r="M348" s="22">
        <v>8.61</v>
      </c>
      <c r="N348" s="15">
        <f t="shared" si="77"/>
        <v>1.3008130081300813</v>
      </c>
      <c r="O348" s="22"/>
      <c r="P348" s="22"/>
      <c r="Q348" s="22"/>
      <c r="R348" s="22"/>
      <c r="S348" s="22"/>
    </row>
    <row r="349" spans="1:19" x14ac:dyDescent="0.15">
      <c r="A349" s="22"/>
      <c r="B349" s="22"/>
      <c r="C349" s="22"/>
      <c r="D349" s="22"/>
      <c r="E349" s="22"/>
      <c r="F349" s="22"/>
      <c r="G349" s="41"/>
      <c r="H349" s="15">
        <v>17</v>
      </c>
      <c r="I349" s="15">
        <v>18</v>
      </c>
      <c r="J349" s="15">
        <f t="shared" si="82"/>
        <v>4</v>
      </c>
      <c r="K349" s="15">
        <f t="shared" si="81"/>
        <v>5</v>
      </c>
      <c r="L349" s="15">
        <v>-10.95</v>
      </c>
      <c r="M349" s="22">
        <v>8.51</v>
      </c>
      <c r="N349" s="15">
        <f t="shared" si="77"/>
        <v>1.2867215041128084</v>
      </c>
      <c r="O349" s="22"/>
      <c r="P349" s="22"/>
      <c r="Q349" s="22"/>
      <c r="R349" s="22"/>
      <c r="S349" s="22"/>
    </row>
    <row r="350" spans="1:19" x14ac:dyDescent="0.15">
      <c r="A350" s="22"/>
      <c r="B350" s="22"/>
      <c r="C350" s="22"/>
      <c r="D350" s="22"/>
      <c r="E350" s="22"/>
      <c r="F350" s="22"/>
      <c r="G350" s="41"/>
      <c r="H350" s="15">
        <v>17</v>
      </c>
      <c r="I350" s="15">
        <v>18</v>
      </c>
      <c r="J350" s="15">
        <f t="shared" si="82"/>
        <v>5</v>
      </c>
      <c r="K350" s="15">
        <f t="shared" si="81"/>
        <v>6</v>
      </c>
      <c r="L350" s="15">
        <v>-11.23</v>
      </c>
      <c r="M350" s="22">
        <v>8.8000000000000007</v>
      </c>
      <c r="N350" s="15">
        <f t="shared" si="77"/>
        <v>1.2761363636363636</v>
      </c>
      <c r="O350" s="22"/>
      <c r="P350" s="22"/>
      <c r="Q350" s="22"/>
      <c r="R350" s="22"/>
      <c r="S350" s="22"/>
    </row>
    <row r="351" spans="1:19" x14ac:dyDescent="0.15">
      <c r="A351" s="22"/>
      <c r="B351" s="22"/>
      <c r="C351" s="22"/>
      <c r="D351" s="22"/>
      <c r="E351" s="22"/>
      <c r="F351" s="22"/>
      <c r="G351" s="41"/>
      <c r="H351" s="15">
        <v>17</v>
      </c>
      <c r="I351" s="15">
        <v>18</v>
      </c>
      <c r="J351" s="15">
        <f t="shared" si="82"/>
        <v>6</v>
      </c>
      <c r="K351" s="15">
        <f t="shared" si="81"/>
        <v>7</v>
      </c>
      <c r="L351" s="15">
        <v>-14.72</v>
      </c>
      <c r="M351" s="22">
        <v>8.98</v>
      </c>
      <c r="N351" s="15">
        <f t="shared" si="77"/>
        <v>1.6391982182628062</v>
      </c>
      <c r="O351" s="22"/>
      <c r="P351" s="22"/>
      <c r="Q351" s="22"/>
      <c r="R351" s="22"/>
      <c r="S351" s="22"/>
    </row>
    <row r="352" spans="1:19" x14ac:dyDescent="0.15">
      <c r="A352" s="22"/>
      <c r="B352" s="22"/>
      <c r="C352" s="22"/>
      <c r="D352" s="22"/>
      <c r="E352" s="22"/>
      <c r="F352" s="22"/>
      <c r="G352" s="41"/>
      <c r="H352" s="15">
        <v>17</v>
      </c>
      <c r="I352" s="15">
        <v>18</v>
      </c>
      <c r="J352" s="15">
        <f t="shared" si="82"/>
        <v>7</v>
      </c>
      <c r="K352" s="15">
        <f t="shared" si="81"/>
        <v>8</v>
      </c>
      <c r="L352" s="15">
        <v>-12.95</v>
      </c>
      <c r="M352" s="22">
        <v>8.69</v>
      </c>
      <c r="N352" s="15">
        <f t="shared" si="77"/>
        <v>1.4902186421173762</v>
      </c>
      <c r="O352" s="22"/>
      <c r="P352" s="22"/>
      <c r="Q352" s="22"/>
      <c r="R352" s="22"/>
      <c r="S352" s="22"/>
    </row>
    <row r="353" spans="1:19" x14ac:dyDescent="0.15">
      <c r="A353" s="22"/>
      <c r="B353" s="22"/>
      <c r="C353" s="22"/>
      <c r="D353" s="22"/>
      <c r="E353" s="22"/>
      <c r="F353" s="22"/>
      <c r="G353" s="41"/>
      <c r="H353" s="15">
        <v>17</v>
      </c>
      <c r="I353" s="15">
        <v>18</v>
      </c>
      <c r="J353" s="15">
        <f t="shared" si="82"/>
        <v>8</v>
      </c>
      <c r="K353" s="15">
        <f t="shared" si="81"/>
        <v>9</v>
      </c>
      <c r="L353" s="15">
        <v>-13.64</v>
      </c>
      <c r="M353" s="22">
        <v>8.6999999999999993</v>
      </c>
      <c r="N353" s="15">
        <f t="shared" si="77"/>
        <v>1.5678160919540232</v>
      </c>
      <c r="O353" s="22"/>
      <c r="P353" s="22"/>
      <c r="Q353" s="22"/>
      <c r="R353" s="22"/>
      <c r="S353" s="22"/>
    </row>
    <row r="354" spans="1:19" x14ac:dyDescent="0.15">
      <c r="A354" s="22"/>
      <c r="B354" s="22"/>
      <c r="C354" s="22"/>
      <c r="D354" s="22"/>
      <c r="E354" s="22"/>
      <c r="F354" s="22"/>
      <c r="G354" s="41"/>
      <c r="H354" s="15">
        <v>17</v>
      </c>
      <c r="I354" s="15">
        <v>18</v>
      </c>
      <c r="J354" s="15">
        <f t="shared" si="82"/>
        <v>9</v>
      </c>
      <c r="K354" s="15">
        <f t="shared" si="81"/>
        <v>10</v>
      </c>
      <c r="L354" s="15">
        <v>-15.54</v>
      </c>
      <c r="M354" s="22">
        <v>9.01</v>
      </c>
      <c r="N354" s="15">
        <f t="shared" si="77"/>
        <v>1.7247502774694783</v>
      </c>
      <c r="O354" s="22"/>
      <c r="P354" s="22"/>
      <c r="Q354" s="22"/>
      <c r="R354" s="22"/>
      <c r="S354" s="22"/>
    </row>
    <row r="355" spans="1:19" x14ac:dyDescent="0.15">
      <c r="A355" s="22"/>
      <c r="B355" s="22"/>
      <c r="C355" s="22"/>
      <c r="D355" s="22"/>
      <c r="E355" s="22"/>
      <c r="F355" s="22"/>
      <c r="G355" s="41"/>
      <c r="H355" s="15">
        <v>17</v>
      </c>
      <c r="I355" s="15">
        <v>18</v>
      </c>
      <c r="J355" s="15">
        <f t="shared" si="82"/>
        <v>10</v>
      </c>
      <c r="K355" s="15">
        <f t="shared" si="81"/>
        <v>11</v>
      </c>
      <c r="L355" s="15">
        <v>-23.23</v>
      </c>
      <c r="M355" s="22">
        <v>9.0500000000000007</v>
      </c>
      <c r="N355" s="15">
        <f t="shared" si="77"/>
        <v>2.5668508287292817</v>
      </c>
      <c r="O355" s="22"/>
      <c r="P355" s="22"/>
      <c r="Q355" s="22"/>
      <c r="R355" s="22"/>
      <c r="S355" s="22"/>
    </row>
    <row r="356" spans="1:19" x14ac:dyDescent="0.15">
      <c r="A356" s="22"/>
      <c r="B356" s="22"/>
      <c r="C356" s="22"/>
      <c r="D356" s="22"/>
      <c r="E356" s="22"/>
      <c r="F356" s="22"/>
      <c r="G356" s="41"/>
      <c r="H356" s="15">
        <v>17</v>
      </c>
      <c r="I356" s="15">
        <v>18</v>
      </c>
      <c r="J356" s="15">
        <f t="shared" si="82"/>
        <v>11</v>
      </c>
      <c r="K356" s="15">
        <f t="shared" si="81"/>
        <v>12</v>
      </c>
      <c r="L356" s="15">
        <v>-23.8</v>
      </c>
      <c r="M356" s="22">
        <v>9.17</v>
      </c>
      <c r="N356" s="15">
        <f t="shared" si="77"/>
        <v>2.5954198473282442</v>
      </c>
      <c r="O356" s="22"/>
      <c r="P356" s="22"/>
      <c r="Q356" s="22"/>
      <c r="R356" s="22"/>
      <c r="S356" s="22"/>
    </row>
    <row r="357" spans="1:19" x14ac:dyDescent="0.15">
      <c r="A357" s="22"/>
      <c r="B357" s="22"/>
      <c r="C357" s="22"/>
      <c r="D357" s="22"/>
      <c r="E357" s="22"/>
      <c r="F357" s="22"/>
      <c r="G357" s="41"/>
      <c r="H357" s="15">
        <v>17</v>
      </c>
      <c r="I357" s="15">
        <v>18</v>
      </c>
      <c r="J357" s="15">
        <f t="shared" si="82"/>
        <v>12</v>
      </c>
      <c r="K357" s="15">
        <f t="shared" si="81"/>
        <v>13</v>
      </c>
      <c r="L357" s="15">
        <v>-34.950000000000003</v>
      </c>
      <c r="M357" s="22">
        <v>8.56</v>
      </c>
      <c r="N357" s="15">
        <f t="shared" si="77"/>
        <v>4.0829439252336446</v>
      </c>
      <c r="O357" s="22"/>
      <c r="P357" s="22"/>
      <c r="Q357" s="22"/>
      <c r="R357" s="22"/>
      <c r="S357" s="22"/>
    </row>
    <row r="358" spans="1:19" x14ac:dyDescent="0.15">
      <c r="A358" s="22"/>
      <c r="B358" s="22"/>
      <c r="C358" s="22"/>
      <c r="D358" s="22"/>
      <c r="E358" s="22"/>
      <c r="F358" s="22"/>
      <c r="G358" s="41"/>
      <c r="H358" s="15">
        <v>17</v>
      </c>
      <c r="I358" s="15">
        <v>18</v>
      </c>
      <c r="J358" s="15">
        <f t="shared" si="82"/>
        <v>13</v>
      </c>
      <c r="K358" s="15">
        <f t="shared" si="81"/>
        <v>14</v>
      </c>
      <c r="L358" s="15">
        <v>-64.16</v>
      </c>
      <c r="M358" s="22">
        <v>8.6999999999999993</v>
      </c>
      <c r="N358" s="15">
        <f t="shared" si="77"/>
        <v>7.3747126436781612</v>
      </c>
      <c r="O358" s="22"/>
      <c r="P358" s="22"/>
      <c r="Q358" s="22"/>
      <c r="R358" s="22"/>
      <c r="S358" s="22"/>
    </row>
    <row r="359" spans="1:19" x14ac:dyDescent="0.15">
      <c r="A359" s="22"/>
      <c r="B359" s="22"/>
      <c r="C359" s="22"/>
      <c r="D359" s="22"/>
      <c r="E359" s="22"/>
      <c r="F359" s="22"/>
      <c r="G359" s="41"/>
      <c r="H359" s="15">
        <v>17</v>
      </c>
      <c r="I359" s="15">
        <v>18</v>
      </c>
      <c r="J359" s="15">
        <f t="shared" si="82"/>
        <v>14</v>
      </c>
      <c r="K359" s="15">
        <f t="shared" si="81"/>
        <v>15</v>
      </c>
      <c r="L359" s="15">
        <v>-137.21</v>
      </c>
      <c r="M359" s="22">
        <v>8.32</v>
      </c>
      <c r="N359" s="15">
        <f t="shared" si="77"/>
        <v>16.49158653846154</v>
      </c>
      <c r="O359" s="22"/>
      <c r="P359" s="22"/>
      <c r="Q359" s="22"/>
      <c r="R359" s="22"/>
      <c r="S359" s="22"/>
    </row>
    <row r="360" spans="1:19" x14ac:dyDescent="0.15">
      <c r="A360" s="22"/>
      <c r="B360" s="22"/>
      <c r="C360" s="22"/>
      <c r="D360" s="22"/>
      <c r="E360" s="22"/>
      <c r="F360" s="22"/>
      <c r="G360" s="41"/>
      <c r="H360" s="15">
        <v>17</v>
      </c>
      <c r="I360" s="15">
        <v>18</v>
      </c>
      <c r="J360" s="15">
        <f t="shared" si="82"/>
        <v>15</v>
      </c>
      <c r="K360" s="15">
        <f t="shared" si="81"/>
        <v>16</v>
      </c>
      <c r="L360" s="15">
        <v>-537.27</v>
      </c>
      <c r="M360" s="22">
        <v>8.06</v>
      </c>
      <c r="N360" s="15">
        <f t="shared" si="77"/>
        <v>66.658808933002476</v>
      </c>
      <c r="O360" s="22"/>
      <c r="P360" s="22"/>
      <c r="Q360" s="22"/>
      <c r="R360" s="22"/>
      <c r="S360" s="22"/>
    </row>
    <row r="361" spans="1:19" x14ac:dyDescent="0.15">
      <c r="A361" s="22"/>
      <c r="B361" s="22"/>
      <c r="C361" s="22"/>
      <c r="D361" s="22"/>
      <c r="E361" s="22"/>
      <c r="F361" s="22"/>
      <c r="G361" s="41"/>
      <c r="H361" s="15">
        <v>18</v>
      </c>
      <c r="I361" s="15">
        <v>19</v>
      </c>
      <c r="J361" s="15">
        <f>I361+1</f>
        <v>20</v>
      </c>
      <c r="K361" s="15">
        <f>J361+1</f>
        <v>21</v>
      </c>
      <c r="L361" s="15">
        <v>-326.44</v>
      </c>
      <c r="M361" s="22">
        <v>4.93</v>
      </c>
      <c r="N361" s="15">
        <f t="shared" si="77"/>
        <v>66.215010141987833</v>
      </c>
      <c r="O361" s="22"/>
      <c r="P361" s="22"/>
      <c r="Q361" s="22"/>
      <c r="R361" s="22"/>
      <c r="S361" s="22"/>
    </row>
    <row r="362" spans="1:19" x14ac:dyDescent="0.15">
      <c r="A362" s="22"/>
      <c r="B362" s="22"/>
      <c r="C362" s="22"/>
      <c r="D362" s="22"/>
      <c r="E362" s="22"/>
      <c r="F362" s="22"/>
      <c r="G362" s="41"/>
      <c r="H362" s="15">
        <v>18</v>
      </c>
      <c r="I362" s="15">
        <v>19</v>
      </c>
      <c r="J362" s="15">
        <f t="shared" ref="J362:K364" si="83">J361+1</f>
        <v>21</v>
      </c>
      <c r="K362" s="15">
        <f t="shared" si="83"/>
        <v>22</v>
      </c>
      <c r="L362" s="15">
        <v>-105.25</v>
      </c>
      <c r="M362" s="22">
        <v>5.6</v>
      </c>
      <c r="N362" s="15">
        <f t="shared" si="77"/>
        <v>18.794642857142858</v>
      </c>
      <c r="O362" s="22"/>
      <c r="P362" s="22"/>
      <c r="Q362" s="22"/>
      <c r="R362" s="22"/>
      <c r="S362" s="22"/>
    </row>
    <row r="363" spans="1:19" x14ac:dyDescent="0.15">
      <c r="A363" s="22"/>
      <c r="B363" s="22"/>
      <c r="C363" s="22"/>
      <c r="D363" s="22"/>
      <c r="E363" s="22"/>
      <c r="F363" s="22"/>
      <c r="G363" s="41"/>
      <c r="H363" s="15">
        <v>18</v>
      </c>
      <c r="I363" s="15">
        <v>19</v>
      </c>
      <c r="J363" s="15">
        <f t="shared" si="83"/>
        <v>22</v>
      </c>
      <c r="K363" s="15">
        <f t="shared" si="83"/>
        <v>23</v>
      </c>
      <c r="L363" s="15">
        <v>-33.29</v>
      </c>
      <c r="M363" s="22">
        <v>5.35</v>
      </c>
      <c r="N363" s="15">
        <f t="shared" si="77"/>
        <v>6.2224299065420565</v>
      </c>
      <c r="O363" s="22"/>
      <c r="P363" s="22"/>
      <c r="Q363" s="22"/>
      <c r="R363" s="22"/>
      <c r="S363" s="22"/>
    </row>
    <row r="364" spans="1:19" x14ac:dyDescent="0.15">
      <c r="A364" s="22"/>
      <c r="B364" s="22"/>
      <c r="C364" s="22"/>
      <c r="D364" s="22"/>
      <c r="E364" s="22"/>
      <c r="F364" s="22"/>
      <c r="G364" s="41"/>
      <c r="H364" s="15">
        <v>18</v>
      </c>
      <c r="I364" s="15">
        <v>19</v>
      </c>
      <c r="J364" s="15">
        <f t="shared" si="83"/>
        <v>23</v>
      </c>
      <c r="K364" s="15">
        <f t="shared" si="83"/>
        <v>24</v>
      </c>
      <c r="L364" s="15">
        <v>-16.7</v>
      </c>
      <c r="M364" s="22">
        <v>4.5199999999999996</v>
      </c>
      <c r="N364" s="15">
        <f t="shared" si="77"/>
        <v>3.694690265486726</v>
      </c>
      <c r="O364" s="22"/>
      <c r="P364" s="22"/>
      <c r="Q364" s="22"/>
      <c r="R364" s="22"/>
      <c r="S364" s="22"/>
    </row>
    <row r="365" spans="1:19" x14ac:dyDescent="0.15">
      <c r="A365" s="22"/>
      <c r="B365" s="22"/>
      <c r="C365" s="22"/>
      <c r="D365" s="22"/>
      <c r="E365" s="22"/>
      <c r="F365" s="22"/>
      <c r="G365" s="41"/>
      <c r="H365" s="15">
        <v>18</v>
      </c>
      <c r="I365" s="15">
        <v>19</v>
      </c>
      <c r="J365" s="15">
        <f>J364+1</f>
        <v>24</v>
      </c>
      <c r="K365" s="15">
        <v>1</v>
      </c>
      <c r="L365" s="15">
        <v>-12.55</v>
      </c>
      <c r="M365" s="22">
        <v>4.66</v>
      </c>
      <c r="N365" s="15">
        <f t="shared" si="77"/>
        <v>2.6931330472103006</v>
      </c>
      <c r="O365" s="22"/>
      <c r="P365" s="22"/>
      <c r="Q365" s="22"/>
      <c r="R365" s="22"/>
      <c r="S365" s="22"/>
    </row>
    <row r="366" spans="1:19" x14ac:dyDescent="0.15">
      <c r="A366" s="22"/>
      <c r="B366" s="22"/>
      <c r="C366" s="22"/>
      <c r="D366" s="22"/>
      <c r="E366" s="22"/>
      <c r="F366" s="22"/>
      <c r="G366" s="41"/>
      <c r="H366" s="15">
        <v>18</v>
      </c>
      <c r="I366" s="15">
        <v>19</v>
      </c>
      <c r="J366" s="15">
        <v>1</v>
      </c>
      <c r="K366" s="15">
        <f t="shared" ref="K366:K381" si="84">K365+1</f>
        <v>2</v>
      </c>
      <c r="L366" s="15">
        <v>-10.79</v>
      </c>
      <c r="M366" s="22">
        <v>6.38</v>
      </c>
      <c r="N366" s="15">
        <f t="shared" si="77"/>
        <v>1.6912225705329154</v>
      </c>
      <c r="O366" s="22"/>
      <c r="P366" s="22"/>
      <c r="Q366" s="22"/>
      <c r="R366" s="22"/>
      <c r="S366" s="22"/>
    </row>
    <row r="367" spans="1:19" x14ac:dyDescent="0.15">
      <c r="A367" s="22"/>
      <c r="B367" s="22"/>
      <c r="C367" s="22"/>
      <c r="D367" s="22"/>
      <c r="E367" s="22"/>
      <c r="F367" s="22"/>
      <c r="G367" s="41"/>
      <c r="H367" s="15">
        <v>18</v>
      </c>
      <c r="I367" s="15">
        <v>19</v>
      </c>
      <c r="J367" s="15">
        <f t="shared" ref="J367:J381" si="85">J366+1</f>
        <v>2</v>
      </c>
      <c r="K367" s="15">
        <f t="shared" si="84"/>
        <v>3</v>
      </c>
      <c r="L367" s="15">
        <v>-3.95</v>
      </c>
      <c r="M367" s="22">
        <v>6.54</v>
      </c>
      <c r="N367" s="15">
        <f t="shared" si="77"/>
        <v>0.60397553516819569</v>
      </c>
      <c r="O367" s="22"/>
      <c r="P367" s="22"/>
      <c r="Q367" s="22"/>
      <c r="R367" s="22"/>
      <c r="S367" s="22"/>
    </row>
    <row r="368" spans="1:19" x14ac:dyDescent="0.15">
      <c r="A368" s="22"/>
      <c r="B368" s="22"/>
      <c r="C368" s="22"/>
      <c r="D368" s="22"/>
      <c r="E368" s="22"/>
      <c r="F368" s="22"/>
      <c r="G368" s="41"/>
      <c r="H368" s="15">
        <v>18</v>
      </c>
      <c r="I368" s="15">
        <v>19</v>
      </c>
      <c r="J368" s="15">
        <f t="shared" si="85"/>
        <v>3</v>
      </c>
      <c r="K368" s="15">
        <f t="shared" si="84"/>
        <v>4</v>
      </c>
      <c r="L368" s="15">
        <v>-10.55</v>
      </c>
      <c r="M368" s="22">
        <v>6.68</v>
      </c>
      <c r="N368" s="15">
        <f t="shared" si="77"/>
        <v>1.5793413173652697</v>
      </c>
      <c r="O368" s="22"/>
      <c r="P368" s="22"/>
      <c r="Q368" s="22"/>
      <c r="R368" s="22"/>
      <c r="S368" s="22"/>
    </row>
    <row r="369" spans="1:19" x14ac:dyDescent="0.15">
      <c r="A369" s="22"/>
      <c r="B369" s="22"/>
      <c r="C369" s="22"/>
      <c r="D369" s="22"/>
      <c r="E369" s="22"/>
      <c r="F369" s="22"/>
      <c r="G369" s="41"/>
      <c r="H369" s="15">
        <v>18</v>
      </c>
      <c r="I369" s="15">
        <v>19</v>
      </c>
      <c r="J369" s="15">
        <f t="shared" si="85"/>
        <v>4</v>
      </c>
      <c r="K369" s="15">
        <f t="shared" si="84"/>
        <v>5</v>
      </c>
      <c r="L369" s="15">
        <v>-9.61</v>
      </c>
      <c r="M369" s="22">
        <v>6.98</v>
      </c>
      <c r="N369" s="15">
        <f t="shared" si="77"/>
        <v>1.3767908309455585</v>
      </c>
      <c r="O369" s="22"/>
      <c r="P369" s="22"/>
      <c r="Q369" s="22"/>
      <c r="R369" s="22"/>
      <c r="S369" s="22"/>
    </row>
    <row r="370" spans="1:19" x14ac:dyDescent="0.15">
      <c r="A370" s="22"/>
      <c r="B370" s="22"/>
      <c r="C370" s="22"/>
      <c r="D370" s="22"/>
      <c r="E370" s="22"/>
      <c r="F370" s="22"/>
      <c r="G370" s="41"/>
      <c r="H370" s="15">
        <v>18</v>
      </c>
      <c r="I370" s="15">
        <v>19</v>
      </c>
      <c r="J370" s="15">
        <f t="shared" si="85"/>
        <v>5</v>
      </c>
      <c r="K370" s="15">
        <f t="shared" si="84"/>
        <v>6</v>
      </c>
      <c r="L370" s="15">
        <v>-7.78</v>
      </c>
      <c r="M370" s="22">
        <v>6.68</v>
      </c>
      <c r="N370" s="15">
        <f t="shared" si="77"/>
        <v>1.1646706586826348</v>
      </c>
      <c r="O370" s="22"/>
      <c r="P370" s="22"/>
      <c r="Q370" s="22"/>
      <c r="R370" s="22"/>
      <c r="S370" s="22"/>
    </row>
    <row r="371" spans="1:19" x14ac:dyDescent="0.15">
      <c r="A371" s="22"/>
      <c r="B371" s="22"/>
      <c r="C371" s="22"/>
      <c r="D371" s="22"/>
      <c r="E371" s="22"/>
      <c r="F371" s="22"/>
      <c r="G371" s="41"/>
      <c r="H371" s="15">
        <v>18</v>
      </c>
      <c r="I371" s="15">
        <v>19</v>
      </c>
      <c r="J371" s="15">
        <f t="shared" si="85"/>
        <v>6</v>
      </c>
      <c r="K371" s="15">
        <f t="shared" si="84"/>
        <v>7</v>
      </c>
      <c r="L371" s="15">
        <v>-3.53</v>
      </c>
      <c r="M371" s="22">
        <v>6.39</v>
      </c>
      <c r="N371" s="15">
        <f t="shared" si="77"/>
        <v>0.55242566510172142</v>
      </c>
      <c r="O371" s="22"/>
      <c r="P371" s="22"/>
      <c r="Q371" s="22"/>
      <c r="R371" s="22"/>
      <c r="S371" s="22"/>
    </row>
    <row r="372" spans="1:19" x14ac:dyDescent="0.15">
      <c r="A372" s="22"/>
      <c r="B372" s="22"/>
      <c r="C372" s="22"/>
      <c r="D372" s="22"/>
      <c r="E372" s="22"/>
      <c r="F372" s="22"/>
      <c r="G372" s="41"/>
      <c r="H372" s="15">
        <v>18</v>
      </c>
      <c r="I372" s="15">
        <v>19</v>
      </c>
      <c r="J372" s="15">
        <f t="shared" si="85"/>
        <v>7</v>
      </c>
      <c r="K372" s="15">
        <f t="shared" si="84"/>
        <v>8</v>
      </c>
      <c r="L372" s="15">
        <v>-7</v>
      </c>
      <c r="M372" s="22">
        <v>6.29</v>
      </c>
      <c r="N372" s="15">
        <f t="shared" si="77"/>
        <v>1.1128775834658187</v>
      </c>
      <c r="O372" s="22"/>
      <c r="P372" s="22"/>
      <c r="Q372" s="22"/>
      <c r="R372" s="22"/>
      <c r="S372" s="22"/>
    </row>
    <row r="373" spans="1:19" x14ac:dyDescent="0.15">
      <c r="A373" s="22"/>
      <c r="B373" s="22"/>
      <c r="C373" s="22"/>
      <c r="D373" s="22"/>
      <c r="E373" s="22"/>
      <c r="F373" s="22"/>
      <c r="G373" s="41"/>
      <c r="H373" s="15">
        <v>18</v>
      </c>
      <c r="I373" s="15">
        <v>19</v>
      </c>
      <c r="J373" s="15">
        <f t="shared" si="85"/>
        <v>8</v>
      </c>
      <c r="K373" s="15">
        <f t="shared" si="84"/>
        <v>9</v>
      </c>
      <c r="L373" s="15">
        <v>-8.65</v>
      </c>
      <c r="M373" s="22">
        <v>6.62</v>
      </c>
      <c r="N373" s="15">
        <f t="shared" si="77"/>
        <v>1.3066465256797584</v>
      </c>
      <c r="O373" s="22"/>
      <c r="P373" s="22"/>
      <c r="Q373" s="22"/>
      <c r="R373" s="22"/>
      <c r="S373" s="22"/>
    </row>
    <row r="374" spans="1:19" x14ac:dyDescent="0.15">
      <c r="A374" s="22"/>
      <c r="B374" s="22"/>
      <c r="C374" s="22"/>
      <c r="D374" s="22"/>
      <c r="E374" s="22"/>
      <c r="F374" s="22"/>
      <c r="G374" s="41"/>
      <c r="H374" s="15">
        <v>18</v>
      </c>
      <c r="I374" s="15">
        <v>19</v>
      </c>
      <c r="J374" s="15">
        <f t="shared" si="85"/>
        <v>9</v>
      </c>
      <c r="K374" s="15">
        <f t="shared" si="84"/>
        <v>10</v>
      </c>
      <c r="L374" s="15">
        <v>-9.08</v>
      </c>
      <c r="M374" s="22">
        <v>6.44</v>
      </c>
      <c r="N374" s="15">
        <f t="shared" si="77"/>
        <v>1.4099378881987576</v>
      </c>
      <c r="O374" s="22"/>
      <c r="P374" s="22"/>
      <c r="Q374" s="22"/>
      <c r="R374" s="22"/>
      <c r="S374" s="22"/>
    </row>
    <row r="375" spans="1:19" x14ac:dyDescent="0.15">
      <c r="A375" s="22"/>
      <c r="B375" s="22"/>
      <c r="C375" s="22"/>
      <c r="D375" s="22"/>
      <c r="E375" s="22"/>
      <c r="F375" s="22"/>
      <c r="G375" s="41"/>
      <c r="H375" s="15">
        <v>18</v>
      </c>
      <c r="I375" s="15">
        <v>19</v>
      </c>
      <c r="J375" s="15">
        <f t="shared" si="85"/>
        <v>10</v>
      </c>
      <c r="K375" s="15">
        <f t="shared" si="84"/>
        <v>11</v>
      </c>
      <c r="L375" s="15">
        <v>-1.99</v>
      </c>
      <c r="M375" s="22">
        <v>6.22</v>
      </c>
      <c r="N375" s="15">
        <f t="shared" si="77"/>
        <v>0.319935691318328</v>
      </c>
      <c r="O375" s="22"/>
      <c r="P375" s="22"/>
      <c r="Q375" s="22"/>
      <c r="R375" s="22"/>
      <c r="S375" s="22"/>
    </row>
    <row r="376" spans="1:19" x14ac:dyDescent="0.15">
      <c r="A376" s="22"/>
      <c r="B376" s="22"/>
      <c r="C376" s="22"/>
      <c r="D376" s="22"/>
      <c r="E376" s="22"/>
      <c r="F376" s="22"/>
      <c r="G376" s="41"/>
      <c r="H376" s="15">
        <v>18</v>
      </c>
      <c r="I376" s="15">
        <v>19</v>
      </c>
      <c r="J376" s="15">
        <f t="shared" si="85"/>
        <v>11</v>
      </c>
      <c r="K376" s="15">
        <f t="shared" si="84"/>
        <v>12</v>
      </c>
      <c r="L376" s="15">
        <v>-12.31</v>
      </c>
      <c r="M376" s="22">
        <v>5.54</v>
      </c>
      <c r="N376" s="15">
        <f t="shared" si="77"/>
        <v>2.2220216606498195</v>
      </c>
      <c r="O376" s="22"/>
      <c r="P376" s="22"/>
      <c r="Q376" s="22"/>
      <c r="R376" s="22"/>
      <c r="S376" s="22"/>
    </row>
    <row r="377" spans="1:19" x14ac:dyDescent="0.15">
      <c r="A377" s="22"/>
      <c r="B377" s="22"/>
      <c r="C377" s="22"/>
      <c r="D377" s="22"/>
      <c r="E377" s="22"/>
      <c r="F377" s="22"/>
      <c r="G377" s="41"/>
      <c r="H377" s="15">
        <v>18</v>
      </c>
      <c r="I377" s="15">
        <v>19</v>
      </c>
      <c r="J377" s="15">
        <f t="shared" si="85"/>
        <v>12</v>
      </c>
      <c r="K377" s="15">
        <f t="shared" si="84"/>
        <v>13</v>
      </c>
      <c r="L377" s="15">
        <v>-13.73</v>
      </c>
      <c r="M377" s="22">
        <v>5.75</v>
      </c>
      <c r="N377" s="15">
        <f t="shared" si="77"/>
        <v>2.387826086956522</v>
      </c>
      <c r="O377" s="22"/>
      <c r="P377" s="22"/>
      <c r="Q377" s="22"/>
      <c r="R377" s="22"/>
      <c r="S377" s="22"/>
    </row>
    <row r="378" spans="1:19" x14ac:dyDescent="0.15">
      <c r="A378" s="22"/>
      <c r="B378" s="22"/>
      <c r="C378" s="22"/>
      <c r="D378" s="22"/>
      <c r="E378" s="22"/>
      <c r="F378" s="22"/>
      <c r="G378" s="41"/>
      <c r="H378" s="15">
        <v>18</v>
      </c>
      <c r="I378" s="15">
        <v>19</v>
      </c>
      <c r="J378" s="15">
        <f t="shared" si="85"/>
        <v>13</v>
      </c>
      <c r="K378" s="15">
        <f t="shared" si="84"/>
        <v>14</v>
      </c>
      <c r="L378" s="15">
        <v>-21.18</v>
      </c>
      <c r="M378" s="22">
        <v>5.61</v>
      </c>
      <c r="N378" s="15">
        <f t="shared" si="77"/>
        <v>3.7754010695187161</v>
      </c>
      <c r="O378" s="22"/>
      <c r="P378" s="22"/>
      <c r="Q378" s="22"/>
      <c r="R378" s="22"/>
      <c r="S378" s="22"/>
    </row>
    <row r="379" spans="1:19" x14ac:dyDescent="0.15">
      <c r="A379" s="22"/>
      <c r="B379" s="22"/>
      <c r="C379" s="22"/>
      <c r="D379" s="22"/>
      <c r="E379" s="22"/>
      <c r="F379" s="22"/>
      <c r="G379" s="41"/>
      <c r="H379" s="15">
        <v>18</v>
      </c>
      <c r="I379" s="15">
        <v>19</v>
      </c>
      <c r="J379" s="15">
        <f t="shared" si="85"/>
        <v>14</v>
      </c>
      <c r="K379" s="15">
        <f t="shared" si="84"/>
        <v>15</v>
      </c>
      <c r="L379" s="15">
        <v>-43.03</v>
      </c>
      <c r="M379" s="22">
        <v>5.94</v>
      </c>
      <c r="N379" s="15">
        <f t="shared" si="77"/>
        <v>7.2441077441077439</v>
      </c>
      <c r="O379" s="22"/>
      <c r="P379" s="22"/>
      <c r="Q379" s="22"/>
      <c r="R379" s="22"/>
      <c r="S379" s="22"/>
    </row>
    <row r="380" spans="1:19" x14ac:dyDescent="0.15">
      <c r="A380" s="22"/>
      <c r="B380" s="22"/>
      <c r="C380" s="22"/>
      <c r="D380" s="22"/>
      <c r="E380" s="22"/>
      <c r="F380" s="22"/>
      <c r="G380" s="41"/>
      <c r="H380" s="15">
        <v>18</v>
      </c>
      <c r="I380" s="15">
        <v>19</v>
      </c>
      <c r="J380" s="15">
        <f t="shared" si="85"/>
        <v>15</v>
      </c>
      <c r="K380" s="15">
        <f t="shared" si="84"/>
        <v>16</v>
      </c>
      <c r="L380" s="15">
        <v>-98.27</v>
      </c>
      <c r="M380" s="22">
        <v>5.44</v>
      </c>
      <c r="N380" s="15">
        <f t="shared" si="77"/>
        <v>18.064338235294116</v>
      </c>
      <c r="O380" s="22"/>
      <c r="P380" s="22"/>
      <c r="Q380" s="22"/>
      <c r="R380" s="22"/>
      <c r="S380" s="22"/>
    </row>
    <row r="381" spans="1:19" x14ac:dyDescent="0.15">
      <c r="A381" s="22"/>
      <c r="B381" s="22"/>
      <c r="C381" s="22"/>
      <c r="D381" s="22"/>
      <c r="E381" s="22"/>
      <c r="F381" s="22"/>
      <c r="G381" s="41"/>
      <c r="H381" s="15">
        <v>18</v>
      </c>
      <c r="I381" s="15">
        <v>19</v>
      </c>
      <c r="J381" s="15">
        <f t="shared" si="85"/>
        <v>16</v>
      </c>
      <c r="K381" s="15">
        <f t="shared" si="84"/>
        <v>17</v>
      </c>
      <c r="L381" s="15">
        <v>-363.34</v>
      </c>
      <c r="M381" s="22">
        <v>5.32</v>
      </c>
      <c r="N381" s="15">
        <f t="shared" si="77"/>
        <v>68.296992481203006</v>
      </c>
      <c r="O381" s="22"/>
      <c r="P381" s="22"/>
      <c r="Q381" s="22"/>
      <c r="R381" s="22"/>
      <c r="S381" s="22"/>
    </row>
    <row r="382" spans="1:19" x14ac:dyDescent="0.15">
      <c r="A382" s="22"/>
      <c r="B382" s="22"/>
      <c r="C382" s="22"/>
      <c r="D382" s="22"/>
      <c r="E382" s="22"/>
      <c r="F382" s="22"/>
      <c r="G382" s="41"/>
      <c r="H382" s="15">
        <v>19</v>
      </c>
      <c r="I382" s="15">
        <v>20</v>
      </c>
      <c r="J382" s="15">
        <f>I382+1</f>
        <v>21</v>
      </c>
      <c r="K382" s="15">
        <f>J382+1</f>
        <v>22</v>
      </c>
      <c r="L382" s="15">
        <v>-320.33</v>
      </c>
      <c r="M382" s="22">
        <v>4.45</v>
      </c>
      <c r="N382" s="15">
        <f t="shared" si="77"/>
        <v>71.984269662921335</v>
      </c>
      <c r="O382" s="22"/>
      <c r="P382" s="22"/>
      <c r="Q382" s="22"/>
      <c r="R382" s="22"/>
      <c r="S382" s="22"/>
    </row>
    <row r="383" spans="1:19" x14ac:dyDescent="0.15">
      <c r="A383" s="22"/>
      <c r="B383" s="22"/>
      <c r="C383" s="22"/>
      <c r="D383" s="22"/>
      <c r="E383" s="22"/>
      <c r="F383" s="22"/>
      <c r="G383" s="41"/>
      <c r="H383" s="15">
        <v>19</v>
      </c>
      <c r="I383" s="15">
        <v>20</v>
      </c>
      <c r="J383" s="15">
        <f>J382+1</f>
        <v>22</v>
      </c>
      <c r="K383" s="15">
        <f>K382+1</f>
        <v>23</v>
      </c>
      <c r="L383" s="15">
        <v>-71.83</v>
      </c>
      <c r="M383" s="22">
        <v>4</v>
      </c>
      <c r="N383" s="15">
        <f t="shared" si="77"/>
        <v>17.9575</v>
      </c>
      <c r="O383" s="22"/>
      <c r="P383" s="22"/>
      <c r="Q383" s="22"/>
      <c r="R383" s="22"/>
      <c r="S383" s="22"/>
    </row>
    <row r="384" spans="1:19" x14ac:dyDescent="0.15">
      <c r="A384" s="22"/>
      <c r="B384" s="22"/>
      <c r="C384" s="22"/>
      <c r="D384" s="22"/>
      <c r="E384" s="22"/>
      <c r="F384" s="22"/>
      <c r="G384" s="41"/>
      <c r="H384" s="15">
        <v>19</v>
      </c>
      <c r="I384" s="15">
        <v>20</v>
      </c>
      <c r="J384" s="15">
        <f>J383+1</f>
        <v>23</v>
      </c>
      <c r="K384" s="15">
        <f>K383+1</f>
        <v>24</v>
      </c>
      <c r="L384" s="15">
        <v>-24.7</v>
      </c>
      <c r="M384" s="22">
        <v>3.63</v>
      </c>
      <c r="N384" s="15">
        <f t="shared" si="77"/>
        <v>6.8044077134986223</v>
      </c>
      <c r="O384" s="22"/>
      <c r="P384" s="22"/>
      <c r="Q384" s="22"/>
      <c r="R384" s="22"/>
      <c r="S384" s="22"/>
    </row>
    <row r="385" spans="1:19" x14ac:dyDescent="0.15">
      <c r="A385" s="22"/>
      <c r="B385" s="22"/>
      <c r="C385" s="22"/>
      <c r="D385" s="22"/>
      <c r="E385" s="22"/>
      <c r="F385" s="22"/>
      <c r="G385" s="41"/>
      <c r="H385" s="15">
        <v>19</v>
      </c>
      <c r="I385" s="15">
        <v>20</v>
      </c>
      <c r="J385" s="15">
        <f>J384+1</f>
        <v>24</v>
      </c>
      <c r="K385" s="15">
        <v>1</v>
      </c>
      <c r="L385" s="15">
        <v>-17.91</v>
      </c>
      <c r="M385" s="22">
        <v>4.07</v>
      </c>
      <c r="N385" s="15">
        <f t="shared" si="77"/>
        <v>4.4004914004914006</v>
      </c>
      <c r="O385" s="22"/>
      <c r="P385" s="22"/>
      <c r="Q385" s="22"/>
      <c r="R385" s="22"/>
      <c r="S385" s="22"/>
    </row>
    <row r="386" spans="1:19" x14ac:dyDescent="0.15">
      <c r="A386" s="22"/>
      <c r="B386" s="22"/>
      <c r="C386" s="22"/>
      <c r="D386" s="22"/>
      <c r="E386" s="22"/>
      <c r="F386" s="22"/>
      <c r="G386" s="41"/>
      <c r="H386" s="15">
        <v>19</v>
      </c>
      <c r="I386" s="15">
        <v>20</v>
      </c>
      <c r="J386" s="15">
        <v>1</v>
      </c>
      <c r="K386" s="15">
        <f t="shared" ref="K386:K402" si="86">K385+1</f>
        <v>2</v>
      </c>
      <c r="L386" s="15">
        <v>-18</v>
      </c>
      <c r="M386" s="22">
        <v>4.29</v>
      </c>
      <c r="N386" s="15">
        <f t="shared" si="77"/>
        <v>4.1958041958041958</v>
      </c>
      <c r="O386" s="22"/>
      <c r="P386" s="22"/>
      <c r="Q386" s="22"/>
      <c r="R386" s="22"/>
      <c r="S386" s="22"/>
    </row>
    <row r="387" spans="1:19" x14ac:dyDescent="0.15">
      <c r="A387" s="22"/>
      <c r="B387" s="22"/>
      <c r="C387" s="22"/>
      <c r="D387" s="22"/>
      <c r="E387" s="22"/>
      <c r="F387" s="22"/>
      <c r="G387" s="41"/>
      <c r="H387" s="15">
        <v>19</v>
      </c>
      <c r="I387" s="15">
        <v>20</v>
      </c>
      <c r="J387" s="15">
        <f t="shared" ref="J387:J402" si="87">J386+1</f>
        <v>2</v>
      </c>
      <c r="K387" s="15">
        <f t="shared" si="86"/>
        <v>3</v>
      </c>
      <c r="L387" s="15">
        <v>-19.77</v>
      </c>
      <c r="M387" s="22">
        <v>4.3099999999999996</v>
      </c>
      <c r="N387" s="15">
        <f t="shared" si="77"/>
        <v>4.5870069605568444</v>
      </c>
      <c r="O387" s="22"/>
      <c r="P387" s="22"/>
      <c r="Q387" s="22"/>
      <c r="R387" s="22"/>
      <c r="S387" s="22"/>
    </row>
    <row r="388" spans="1:19" x14ac:dyDescent="0.15">
      <c r="A388" s="22"/>
      <c r="B388" s="22"/>
      <c r="C388" s="22"/>
      <c r="D388" s="22"/>
      <c r="E388" s="22"/>
      <c r="F388" s="22"/>
      <c r="G388" s="41"/>
      <c r="H388" s="15">
        <v>19</v>
      </c>
      <c r="I388" s="15">
        <v>20</v>
      </c>
      <c r="J388" s="15">
        <f t="shared" si="87"/>
        <v>3</v>
      </c>
      <c r="K388" s="15">
        <f t="shared" si="86"/>
        <v>4</v>
      </c>
      <c r="L388" s="15">
        <v>-8.36</v>
      </c>
      <c r="M388" s="22">
        <v>5.22</v>
      </c>
      <c r="N388" s="15">
        <f t="shared" si="77"/>
        <v>1.6015325670498084</v>
      </c>
      <c r="O388" s="22"/>
      <c r="P388" s="22"/>
      <c r="Q388" s="22"/>
      <c r="R388" s="22"/>
      <c r="S388" s="22"/>
    </row>
    <row r="389" spans="1:19" x14ac:dyDescent="0.15">
      <c r="A389" s="22"/>
      <c r="B389" s="22"/>
      <c r="C389" s="22"/>
      <c r="D389" s="22"/>
      <c r="E389" s="22"/>
      <c r="F389" s="22"/>
      <c r="G389" s="41"/>
      <c r="H389" s="15">
        <v>19</v>
      </c>
      <c r="I389" s="15">
        <v>20</v>
      </c>
      <c r="J389" s="15">
        <f t="shared" si="87"/>
        <v>4</v>
      </c>
      <c r="K389" s="15">
        <f t="shared" si="86"/>
        <v>5</v>
      </c>
      <c r="L389" s="15">
        <v>-6.76</v>
      </c>
      <c r="M389" s="22">
        <v>4.0599999999999996</v>
      </c>
      <c r="N389" s="15">
        <f t="shared" ref="N389:N452" si="88">-L389/M389</f>
        <v>1.6650246305418721</v>
      </c>
      <c r="O389" s="22"/>
      <c r="P389" s="22"/>
      <c r="Q389" s="22"/>
      <c r="R389" s="22"/>
      <c r="S389" s="22"/>
    </row>
    <row r="390" spans="1:19" x14ac:dyDescent="0.15">
      <c r="A390" s="22"/>
      <c r="B390" s="22"/>
      <c r="C390" s="22"/>
      <c r="D390" s="22"/>
      <c r="E390" s="22"/>
      <c r="F390" s="22"/>
      <c r="G390" s="41"/>
      <c r="H390" s="15">
        <v>19</v>
      </c>
      <c r="I390" s="15">
        <v>20</v>
      </c>
      <c r="J390" s="15">
        <f t="shared" si="87"/>
        <v>5</v>
      </c>
      <c r="K390" s="15">
        <f t="shared" si="86"/>
        <v>6</v>
      </c>
      <c r="L390" s="15">
        <v>-8.41</v>
      </c>
      <c r="M390" s="22">
        <v>4.37</v>
      </c>
      <c r="N390" s="15">
        <f t="shared" si="88"/>
        <v>1.9244851258581235</v>
      </c>
      <c r="O390" s="22"/>
      <c r="P390" s="22"/>
      <c r="Q390" s="22"/>
      <c r="R390" s="22"/>
      <c r="S390" s="22"/>
    </row>
    <row r="391" spans="1:19" x14ac:dyDescent="0.15">
      <c r="A391" s="22"/>
      <c r="B391" s="22"/>
      <c r="C391" s="22"/>
      <c r="D391" s="22"/>
      <c r="E391" s="22"/>
      <c r="F391" s="22"/>
      <c r="G391" s="41"/>
      <c r="H391" s="15">
        <v>19</v>
      </c>
      <c r="I391" s="15">
        <v>20</v>
      </c>
      <c r="J391" s="15">
        <f t="shared" si="87"/>
        <v>6</v>
      </c>
      <c r="K391" s="15">
        <f t="shared" si="86"/>
        <v>7</v>
      </c>
      <c r="L391" s="15">
        <v>-16.12</v>
      </c>
      <c r="M391" s="22">
        <v>4.3</v>
      </c>
      <c r="N391" s="15">
        <f t="shared" si="88"/>
        <v>3.7488372093023261</v>
      </c>
      <c r="O391" s="22"/>
      <c r="P391" s="22"/>
      <c r="Q391" s="22"/>
      <c r="R391" s="22"/>
      <c r="S391" s="22"/>
    </row>
    <row r="392" spans="1:19" x14ac:dyDescent="0.15">
      <c r="A392" s="22"/>
      <c r="B392" s="22"/>
      <c r="C392" s="22"/>
      <c r="D392" s="22"/>
      <c r="E392" s="22"/>
      <c r="F392" s="22"/>
      <c r="G392" s="41"/>
      <c r="H392" s="15">
        <v>19</v>
      </c>
      <c r="I392" s="15">
        <v>20</v>
      </c>
      <c r="J392" s="15">
        <f t="shared" si="87"/>
        <v>7</v>
      </c>
      <c r="K392" s="15">
        <f t="shared" si="86"/>
        <v>8</v>
      </c>
      <c r="L392" s="15">
        <v>-8.11</v>
      </c>
      <c r="M392" s="22">
        <v>4.2699999999999996</v>
      </c>
      <c r="N392" s="15">
        <f t="shared" si="88"/>
        <v>1.8992974238875879</v>
      </c>
      <c r="O392" s="22"/>
      <c r="P392" s="22"/>
      <c r="Q392" s="22"/>
      <c r="R392" s="22"/>
      <c r="S392" s="22"/>
    </row>
    <row r="393" spans="1:19" x14ac:dyDescent="0.15">
      <c r="A393" s="22"/>
      <c r="B393" s="22"/>
      <c r="C393" s="22"/>
      <c r="D393" s="22"/>
      <c r="E393" s="22"/>
      <c r="F393" s="22"/>
      <c r="G393" s="41"/>
      <c r="H393" s="15">
        <v>19</v>
      </c>
      <c r="I393" s="15">
        <v>20</v>
      </c>
      <c r="J393" s="15">
        <f t="shared" si="87"/>
        <v>8</v>
      </c>
      <c r="K393" s="15">
        <f t="shared" si="86"/>
        <v>9</v>
      </c>
      <c r="L393" s="15">
        <v>-7.58</v>
      </c>
      <c r="M393" s="22">
        <v>4.42</v>
      </c>
      <c r="N393" s="15">
        <f t="shared" si="88"/>
        <v>1.7149321266968327</v>
      </c>
      <c r="O393" s="22"/>
      <c r="P393" s="22"/>
      <c r="Q393" s="22"/>
      <c r="R393" s="22"/>
      <c r="S393" s="22"/>
    </row>
    <row r="394" spans="1:19" x14ac:dyDescent="0.15">
      <c r="A394" s="22"/>
      <c r="B394" s="22"/>
      <c r="C394" s="22"/>
      <c r="D394" s="22"/>
      <c r="E394" s="22"/>
      <c r="F394" s="22"/>
      <c r="G394" s="41"/>
      <c r="H394" s="15">
        <v>19</v>
      </c>
      <c r="I394" s="15">
        <v>20</v>
      </c>
      <c r="J394" s="15">
        <f t="shared" si="87"/>
        <v>9</v>
      </c>
      <c r="K394" s="15">
        <f t="shared" si="86"/>
        <v>10</v>
      </c>
      <c r="L394" s="15">
        <v>-7.09</v>
      </c>
      <c r="M394" s="22">
        <v>4.66</v>
      </c>
      <c r="N394" s="15">
        <f t="shared" si="88"/>
        <v>1.5214592274678111</v>
      </c>
      <c r="O394" s="22"/>
      <c r="P394" s="22"/>
      <c r="Q394" s="22"/>
      <c r="R394" s="22"/>
      <c r="S394" s="22"/>
    </row>
    <row r="395" spans="1:19" x14ac:dyDescent="0.15">
      <c r="A395" s="22"/>
      <c r="B395" s="22"/>
      <c r="C395" s="22"/>
      <c r="D395" s="22"/>
      <c r="E395" s="22"/>
      <c r="F395" s="22"/>
      <c r="G395" s="41"/>
      <c r="H395" s="15">
        <v>19</v>
      </c>
      <c r="I395" s="15">
        <v>20</v>
      </c>
      <c r="J395" s="15">
        <f t="shared" si="87"/>
        <v>10</v>
      </c>
      <c r="K395" s="15">
        <f t="shared" si="86"/>
        <v>11</v>
      </c>
      <c r="L395" s="15">
        <v>-20.13</v>
      </c>
      <c r="M395" s="22">
        <v>4.84</v>
      </c>
      <c r="N395" s="15">
        <f t="shared" si="88"/>
        <v>4.1590909090909092</v>
      </c>
      <c r="O395" s="22"/>
      <c r="P395" s="22"/>
      <c r="Q395" s="22"/>
      <c r="R395" s="22"/>
      <c r="S395" s="22"/>
    </row>
    <row r="396" spans="1:19" x14ac:dyDescent="0.15">
      <c r="A396" s="22"/>
      <c r="B396" s="22"/>
      <c r="C396" s="22"/>
      <c r="D396" s="22"/>
      <c r="E396" s="22"/>
      <c r="F396" s="22"/>
      <c r="G396" s="41"/>
      <c r="H396" s="15">
        <v>19</v>
      </c>
      <c r="I396" s="15">
        <v>20</v>
      </c>
      <c r="J396" s="15">
        <f t="shared" si="87"/>
        <v>11</v>
      </c>
      <c r="K396" s="15">
        <f t="shared" si="86"/>
        <v>12</v>
      </c>
      <c r="L396" s="15">
        <v>-7.44</v>
      </c>
      <c r="M396" s="22">
        <v>4.88</v>
      </c>
      <c r="N396" s="15">
        <f t="shared" si="88"/>
        <v>1.5245901639344264</v>
      </c>
      <c r="O396" s="22"/>
      <c r="P396" s="22"/>
      <c r="Q396" s="22"/>
      <c r="R396" s="22"/>
      <c r="S396" s="22"/>
    </row>
    <row r="397" spans="1:19" x14ac:dyDescent="0.15">
      <c r="A397" s="22"/>
      <c r="B397" s="22"/>
      <c r="C397" s="22"/>
      <c r="D397" s="22"/>
      <c r="E397" s="22"/>
      <c r="F397" s="22"/>
      <c r="G397" s="41"/>
      <c r="H397" s="15">
        <v>19</v>
      </c>
      <c r="I397" s="15">
        <v>20</v>
      </c>
      <c r="J397" s="15">
        <f t="shared" si="87"/>
        <v>12</v>
      </c>
      <c r="K397" s="15">
        <f t="shared" si="86"/>
        <v>13</v>
      </c>
      <c r="L397" s="15">
        <v>-11.8</v>
      </c>
      <c r="M397" s="22">
        <v>4.68</v>
      </c>
      <c r="N397" s="15">
        <f t="shared" si="88"/>
        <v>2.5213675213675217</v>
      </c>
      <c r="O397" s="22"/>
      <c r="P397" s="22"/>
      <c r="Q397" s="22"/>
      <c r="R397" s="22"/>
      <c r="S397" s="22"/>
    </row>
    <row r="398" spans="1:19" x14ac:dyDescent="0.15">
      <c r="A398" s="22"/>
      <c r="B398" s="22"/>
      <c r="C398" s="22"/>
      <c r="D398" s="22"/>
      <c r="E398" s="22"/>
      <c r="F398" s="22"/>
      <c r="G398" s="41"/>
      <c r="H398" s="15">
        <v>19</v>
      </c>
      <c r="I398" s="15">
        <v>20</v>
      </c>
      <c r="J398" s="15">
        <f t="shared" si="87"/>
        <v>13</v>
      </c>
      <c r="K398" s="15">
        <f t="shared" si="86"/>
        <v>14</v>
      </c>
      <c r="L398" s="15">
        <v>-15.54</v>
      </c>
      <c r="M398" s="22">
        <v>5.08</v>
      </c>
      <c r="N398" s="15">
        <f t="shared" si="88"/>
        <v>3.0590551181102361</v>
      </c>
      <c r="O398" s="22"/>
      <c r="P398" s="22"/>
      <c r="Q398" s="22"/>
      <c r="R398" s="22"/>
      <c r="S398" s="22"/>
    </row>
    <row r="399" spans="1:19" x14ac:dyDescent="0.15">
      <c r="A399" s="22"/>
      <c r="B399" s="22"/>
      <c r="C399" s="22"/>
      <c r="D399" s="22"/>
      <c r="E399" s="22"/>
      <c r="F399" s="22"/>
      <c r="G399" s="41"/>
      <c r="H399" s="15">
        <v>19</v>
      </c>
      <c r="I399" s="15">
        <v>20</v>
      </c>
      <c r="J399" s="15">
        <f t="shared" si="87"/>
        <v>14</v>
      </c>
      <c r="K399" s="15">
        <f t="shared" si="86"/>
        <v>15</v>
      </c>
      <c r="L399" s="15">
        <v>-19.47</v>
      </c>
      <c r="M399" s="22">
        <v>5.34</v>
      </c>
      <c r="N399" s="15">
        <f t="shared" si="88"/>
        <v>3.6460674157303368</v>
      </c>
      <c r="O399" s="22"/>
      <c r="P399" s="22"/>
      <c r="Q399" s="22"/>
      <c r="R399" s="22"/>
      <c r="S399" s="22"/>
    </row>
    <row r="400" spans="1:19" x14ac:dyDescent="0.15">
      <c r="A400" s="22"/>
      <c r="B400" s="22"/>
      <c r="C400" s="22"/>
      <c r="D400" s="22"/>
      <c r="E400" s="22"/>
      <c r="F400" s="22"/>
      <c r="G400" s="41"/>
      <c r="H400" s="15">
        <v>19</v>
      </c>
      <c r="I400" s="15">
        <v>20</v>
      </c>
      <c r="J400" s="15">
        <f t="shared" si="87"/>
        <v>15</v>
      </c>
      <c r="K400" s="15">
        <f t="shared" si="86"/>
        <v>16</v>
      </c>
      <c r="L400" s="15">
        <v>-38.24</v>
      </c>
      <c r="M400" s="22">
        <v>5.66</v>
      </c>
      <c r="N400" s="15">
        <f t="shared" si="88"/>
        <v>6.7561837455830389</v>
      </c>
      <c r="O400" s="22"/>
      <c r="P400" s="22"/>
      <c r="Q400" s="22"/>
      <c r="R400" s="22"/>
      <c r="S400" s="22"/>
    </row>
    <row r="401" spans="1:19" x14ac:dyDescent="0.15">
      <c r="A401" s="22"/>
      <c r="B401" s="22"/>
      <c r="C401" s="22"/>
      <c r="D401" s="22"/>
      <c r="E401" s="22"/>
      <c r="F401" s="22"/>
      <c r="G401" s="41"/>
      <c r="H401" s="15">
        <v>19</v>
      </c>
      <c r="I401" s="15">
        <v>20</v>
      </c>
      <c r="J401" s="15">
        <f t="shared" si="87"/>
        <v>16</v>
      </c>
      <c r="K401" s="15">
        <f t="shared" si="86"/>
        <v>17</v>
      </c>
      <c r="L401" s="15">
        <v>-89.52</v>
      </c>
      <c r="M401" s="22">
        <v>5.59</v>
      </c>
      <c r="N401" s="15">
        <f t="shared" si="88"/>
        <v>16.014311270125223</v>
      </c>
      <c r="O401" s="22"/>
      <c r="P401" s="22"/>
      <c r="Q401" s="22"/>
      <c r="R401" s="22"/>
      <c r="S401" s="22"/>
    </row>
    <row r="402" spans="1:19" x14ac:dyDescent="0.15">
      <c r="A402" s="22"/>
      <c r="B402" s="22"/>
      <c r="C402" s="22"/>
      <c r="D402" s="22"/>
      <c r="E402" s="22"/>
      <c r="F402" s="22"/>
      <c r="G402" s="41"/>
      <c r="H402" s="15">
        <v>19</v>
      </c>
      <c r="I402" s="15">
        <v>20</v>
      </c>
      <c r="J402" s="15">
        <f t="shared" si="87"/>
        <v>17</v>
      </c>
      <c r="K402" s="15">
        <f t="shared" si="86"/>
        <v>18</v>
      </c>
      <c r="L402" s="15">
        <v>-321.77</v>
      </c>
      <c r="M402" s="22">
        <v>5.79</v>
      </c>
      <c r="N402" s="15">
        <f t="shared" si="88"/>
        <v>55.573402417962001</v>
      </c>
      <c r="O402" s="22"/>
      <c r="P402" s="22"/>
      <c r="Q402" s="22"/>
      <c r="R402" s="22"/>
      <c r="S402" s="22"/>
    </row>
    <row r="403" spans="1:19" x14ac:dyDescent="0.15">
      <c r="A403" s="22"/>
      <c r="B403" s="22"/>
      <c r="C403" s="22"/>
      <c r="D403" s="22"/>
      <c r="E403" s="22"/>
      <c r="F403" s="22"/>
      <c r="G403" s="41"/>
      <c r="H403" s="15">
        <v>20</v>
      </c>
      <c r="I403" s="15">
        <v>21</v>
      </c>
      <c r="J403" s="15">
        <f>I403+1</f>
        <v>22</v>
      </c>
      <c r="K403" s="15">
        <f>J403+1</f>
        <v>23</v>
      </c>
      <c r="L403" s="15">
        <v>-478.98</v>
      </c>
      <c r="M403" s="22">
        <v>8.3000000000000007</v>
      </c>
      <c r="N403" s="15">
        <f t="shared" si="88"/>
        <v>57.708433734939753</v>
      </c>
      <c r="O403" s="22"/>
      <c r="P403" s="22"/>
      <c r="Q403" s="22"/>
      <c r="R403" s="22"/>
      <c r="S403" s="22"/>
    </row>
    <row r="404" spans="1:19" x14ac:dyDescent="0.15">
      <c r="A404" s="22"/>
      <c r="B404" s="22"/>
      <c r="C404" s="22"/>
      <c r="D404" s="22"/>
      <c r="E404" s="22"/>
      <c r="F404" s="22"/>
      <c r="G404" s="41"/>
      <c r="H404" s="15">
        <v>20</v>
      </c>
      <c r="I404" s="15">
        <v>21</v>
      </c>
      <c r="J404" s="15">
        <f>J403+1</f>
        <v>23</v>
      </c>
      <c r="K404" s="15">
        <f>K403+1</f>
        <v>24</v>
      </c>
      <c r="L404" s="15">
        <v>-124.48</v>
      </c>
      <c r="M404" s="22">
        <v>8.4</v>
      </c>
      <c r="N404" s="15">
        <f t="shared" si="88"/>
        <v>14.81904761904762</v>
      </c>
      <c r="O404" s="22"/>
      <c r="P404" s="22"/>
      <c r="Q404" s="22"/>
      <c r="R404" s="22"/>
      <c r="S404" s="22"/>
    </row>
    <row r="405" spans="1:19" x14ac:dyDescent="0.15">
      <c r="A405" s="22"/>
      <c r="B405" s="22"/>
      <c r="C405" s="22"/>
      <c r="D405" s="22"/>
      <c r="E405" s="22"/>
      <c r="F405" s="22"/>
      <c r="G405" s="41"/>
      <c r="H405" s="15">
        <v>20</v>
      </c>
      <c r="I405" s="15">
        <v>21</v>
      </c>
      <c r="J405" s="15">
        <f>J404+1</f>
        <v>24</v>
      </c>
      <c r="K405" s="15">
        <v>1</v>
      </c>
      <c r="L405" s="15">
        <v>-60.37</v>
      </c>
      <c r="M405" s="22">
        <v>8.4</v>
      </c>
      <c r="N405" s="15">
        <f t="shared" si="88"/>
        <v>7.1869047619047617</v>
      </c>
      <c r="O405" s="22"/>
      <c r="P405" s="22"/>
      <c r="Q405" s="22"/>
      <c r="R405" s="22"/>
      <c r="S405" s="22"/>
    </row>
    <row r="406" spans="1:19" x14ac:dyDescent="0.15">
      <c r="A406" s="22"/>
      <c r="B406" s="22"/>
      <c r="C406" s="22"/>
      <c r="D406" s="22"/>
      <c r="E406" s="22"/>
      <c r="F406" s="22"/>
      <c r="G406" s="41"/>
      <c r="H406" s="15">
        <v>20</v>
      </c>
      <c r="I406" s="15">
        <v>21</v>
      </c>
      <c r="J406" s="15">
        <v>1</v>
      </c>
      <c r="K406" s="15">
        <f t="shared" ref="K406:K423" si="89">K405+1</f>
        <v>2</v>
      </c>
      <c r="L406" s="15">
        <v>-33.85</v>
      </c>
      <c r="M406" s="22">
        <v>8.6199999999999992</v>
      </c>
      <c r="N406" s="15">
        <f t="shared" si="88"/>
        <v>3.9269141531322509</v>
      </c>
      <c r="O406" s="22"/>
      <c r="P406" s="22"/>
      <c r="Q406" s="22"/>
      <c r="R406" s="22"/>
      <c r="S406" s="22"/>
    </row>
    <row r="407" spans="1:19" x14ac:dyDescent="0.15">
      <c r="A407" s="22"/>
      <c r="B407" s="22"/>
      <c r="C407" s="22"/>
      <c r="D407" s="22"/>
      <c r="E407" s="22"/>
      <c r="F407" s="22"/>
      <c r="G407" s="41"/>
      <c r="H407" s="15">
        <v>20</v>
      </c>
      <c r="I407" s="15">
        <v>21</v>
      </c>
      <c r="J407" s="15">
        <f t="shared" ref="J407:J423" si="90">J406+1</f>
        <v>2</v>
      </c>
      <c r="K407" s="15">
        <f t="shared" si="89"/>
        <v>3</v>
      </c>
      <c r="L407" s="15">
        <v>-23.53</v>
      </c>
      <c r="M407" s="22">
        <v>8.4700000000000006</v>
      </c>
      <c r="N407" s="15">
        <f t="shared" si="88"/>
        <v>2.778040141676505</v>
      </c>
      <c r="O407" s="22"/>
      <c r="P407" s="22"/>
      <c r="Q407" s="22"/>
      <c r="R407" s="22"/>
      <c r="S407" s="22"/>
    </row>
    <row r="408" spans="1:19" x14ac:dyDescent="0.15">
      <c r="A408" s="22"/>
      <c r="B408" s="22"/>
      <c r="C408" s="22"/>
      <c r="D408" s="22"/>
      <c r="E408" s="22"/>
      <c r="F408" s="22"/>
      <c r="G408" s="41"/>
      <c r="H408" s="15">
        <v>20</v>
      </c>
      <c r="I408" s="15">
        <v>21</v>
      </c>
      <c r="J408" s="15">
        <f t="shared" si="90"/>
        <v>3</v>
      </c>
      <c r="K408" s="15">
        <f t="shared" si="89"/>
        <v>4</v>
      </c>
      <c r="L408" s="15">
        <v>-14.62</v>
      </c>
      <c r="M408" s="22">
        <v>8.31</v>
      </c>
      <c r="N408" s="15">
        <f t="shared" si="88"/>
        <v>1.7593261131167266</v>
      </c>
      <c r="O408" s="22"/>
      <c r="P408" s="22"/>
      <c r="Q408" s="22"/>
      <c r="R408" s="22"/>
      <c r="S408" s="22"/>
    </row>
    <row r="409" spans="1:19" x14ac:dyDescent="0.15">
      <c r="A409" s="22"/>
      <c r="B409" s="22"/>
      <c r="C409" s="22"/>
      <c r="D409" s="22"/>
      <c r="E409" s="22"/>
      <c r="F409" s="22"/>
      <c r="G409" s="41"/>
      <c r="H409" s="15">
        <v>20</v>
      </c>
      <c r="I409" s="15">
        <v>21</v>
      </c>
      <c r="J409" s="15">
        <f t="shared" si="90"/>
        <v>4</v>
      </c>
      <c r="K409" s="15">
        <f t="shared" si="89"/>
        <v>5</v>
      </c>
      <c r="L409" s="15">
        <v>-12.53</v>
      </c>
      <c r="M409" s="22">
        <v>8.15</v>
      </c>
      <c r="N409" s="15">
        <f t="shared" si="88"/>
        <v>1.5374233128834354</v>
      </c>
      <c r="O409" s="22"/>
      <c r="P409" s="22"/>
      <c r="Q409" s="22"/>
      <c r="R409" s="22"/>
      <c r="S409" s="22"/>
    </row>
    <row r="410" spans="1:19" x14ac:dyDescent="0.15">
      <c r="A410" s="22"/>
      <c r="B410" s="22"/>
      <c r="C410" s="22"/>
      <c r="D410" s="22"/>
      <c r="E410" s="22"/>
      <c r="F410" s="22"/>
      <c r="G410" s="41"/>
      <c r="H410" s="15">
        <v>20</v>
      </c>
      <c r="I410" s="15">
        <v>21</v>
      </c>
      <c r="J410" s="15">
        <f t="shared" si="90"/>
        <v>5</v>
      </c>
      <c r="K410" s="15">
        <f t="shared" si="89"/>
        <v>6</v>
      </c>
      <c r="L410" s="15">
        <v>-11.2</v>
      </c>
      <c r="M410" s="22">
        <v>8</v>
      </c>
      <c r="N410" s="15">
        <f t="shared" si="88"/>
        <v>1.4</v>
      </c>
      <c r="O410" s="22"/>
      <c r="P410" s="22"/>
      <c r="Q410" s="22"/>
      <c r="R410" s="22"/>
      <c r="S410" s="22"/>
    </row>
    <row r="411" spans="1:19" x14ac:dyDescent="0.15">
      <c r="A411" s="22"/>
      <c r="B411" s="22"/>
      <c r="C411" s="22"/>
      <c r="D411" s="22"/>
      <c r="E411" s="22"/>
      <c r="F411" s="22"/>
      <c r="G411" s="41"/>
      <c r="H411" s="15">
        <v>20</v>
      </c>
      <c r="I411" s="15">
        <v>21</v>
      </c>
      <c r="J411" s="15">
        <f t="shared" si="90"/>
        <v>6</v>
      </c>
      <c r="K411" s="15">
        <f t="shared" si="89"/>
        <v>7</v>
      </c>
      <c r="L411" s="15">
        <v>-13.06</v>
      </c>
      <c r="M411" s="22">
        <v>7.91</v>
      </c>
      <c r="N411" s="15">
        <f t="shared" si="88"/>
        <v>1.6510745891276866</v>
      </c>
      <c r="O411" s="22"/>
      <c r="P411" s="22"/>
      <c r="Q411" s="22"/>
      <c r="R411" s="22"/>
      <c r="S411" s="22"/>
    </row>
    <row r="412" spans="1:19" x14ac:dyDescent="0.15">
      <c r="A412" s="22"/>
      <c r="B412" s="22"/>
      <c r="C412" s="22"/>
      <c r="D412" s="22"/>
      <c r="E412" s="22"/>
      <c r="F412" s="22"/>
      <c r="G412" s="41"/>
      <c r="H412" s="15">
        <v>20</v>
      </c>
      <c r="I412" s="15">
        <v>21</v>
      </c>
      <c r="J412" s="15">
        <f t="shared" si="90"/>
        <v>7</v>
      </c>
      <c r="K412" s="15">
        <f t="shared" si="89"/>
        <v>8</v>
      </c>
      <c r="L412" s="15">
        <v>-9.92</v>
      </c>
      <c r="M412" s="22">
        <v>7.98</v>
      </c>
      <c r="N412" s="15">
        <f t="shared" si="88"/>
        <v>1.2431077694235588</v>
      </c>
      <c r="O412" s="22"/>
      <c r="P412" s="22"/>
      <c r="Q412" s="22"/>
      <c r="R412" s="22"/>
      <c r="S412" s="22"/>
    </row>
    <row r="413" spans="1:19" x14ac:dyDescent="0.15">
      <c r="A413" s="22"/>
      <c r="B413" s="22"/>
      <c r="C413" s="22"/>
      <c r="D413" s="22"/>
      <c r="E413" s="22"/>
      <c r="F413" s="22"/>
      <c r="G413" s="41"/>
      <c r="H413" s="15">
        <v>20</v>
      </c>
      <c r="I413" s="15">
        <v>21</v>
      </c>
      <c r="J413" s="15">
        <f t="shared" si="90"/>
        <v>8</v>
      </c>
      <c r="K413" s="15">
        <f t="shared" si="89"/>
        <v>9</v>
      </c>
      <c r="L413" s="15">
        <v>-9.57</v>
      </c>
      <c r="M413" s="22">
        <v>7.8</v>
      </c>
      <c r="N413" s="15">
        <f t="shared" si="88"/>
        <v>1.226923076923077</v>
      </c>
      <c r="O413" s="22"/>
      <c r="P413" s="22"/>
      <c r="Q413" s="22"/>
      <c r="R413" s="22"/>
      <c r="S413" s="22"/>
    </row>
    <row r="414" spans="1:19" x14ac:dyDescent="0.15">
      <c r="A414" s="22"/>
      <c r="B414" s="22"/>
      <c r="C414" s="22"/>
      <c r="D414" s="22"/>
      <c r="E414" s="22"/>
      <c r="F414" s="22"/>
      <c r="G414" s="41"/>
      <c r="H414" s="15">
        <v>20</v>
      </c>
      <c r="I414" s="15">
        <v>21</v>
      </c>
      <c r="J414" s="15">
        <f t="shared" si="90"/>
        <v>9</v>
      </c>
      <c r="K414" s="15">
        <f t="shared" si="89"/>
        <v>10</v>
      </c>
      <c r="L414" s="15">
        <v>-10.01</v>
      </c>
      <c r="M414" s="22">
        <v>8.17</v>
      </c>
      <c r="N414" s="15">
        <f t="shared" si="88"/>
        <v>1.2252141982864138</v>
      </c>
      <c r="O414" s="22"/>
      <c r="P414" s="22"/>
      <c r="Q414" s="22"/>
      <c r="R414" s="22"/>
      <c r="S414" s="22"/>
    </row>
    <row r="415" spans="1:19" x14ac:dyDescent="0.15">
      <c r="A415" s="22"/>
      <c r="B415" s="22"/>
      <c r="C415" s="22"/>
      <c r="D415" s="22"/>
      <c r="E415" s="22"/>
      <c r="F415" s="22"/>
      <c r="G415" s="41"/>
      <c r="H415" s="15">
        <v>20</v>
      </c>
      <c r="I415" s="15">
        <v>21</v>
      </c>
      <c r="J415" s="15">
        <f t="shared" si="90"/>
        <v>10</v>
      </c>
      <c r="K415" s="15">
        <f t="shared" si="89"/>
        <v>11</v>
      </c>
      <c r="L415" s="15">
        <v>-13.26</v>
      </c>
      <c r="M415" s="22">
        <v>7.99</v>
      </c>
      <c r="N415" s="15">
        <f t="shared" si="88"/>
        <v>1.6595744680851063</v>
      </c>
      <c r="O415" s="22"/>
      <c r="P415" s="22"/>
      <c r="Q415" s="22"/>
      <c r="R415" s="22"/>
      <c r="S415" s="22"/>
    </row>
    <row r="416" spans="1:19" x14ac:dyDescent="0.15">
      <c r="A416" s="22"/>
      <c r="B416" s="22"/>
      <c r="C416" s="22"/>
      <c r="D416" s="22"/>
      <c r="E416" s="22"/>
      <c r="F416" s="22"/>
      <c r="G416" s="41"/>
      <c r="H416" s="15">
        <v>20</v>
      </c>
      <c r="I416" s="15">
        <v>21</v>
      </c>
      <c r="J416" s="15">
        <f t="shared" si="90"/>
        <v>11</v>
      </c>
      <c r="K416" s="15">
        <f t="shared" si="89"/>
        <v>12</v>
      </c>
      <c r="L416" s="15">
        <v>-10.26</v>
      </c>
      <c r="M416" s="22">
        <v>7.74</v>
      </c>
      <c r="N416" s="15">
        <f t="shared" si="88"/>
        <v>1.3255813953488371</v>
      </c>
      <c r="O416" s="22"/>
      <c r="P416" s="22"/>
      <c r="Q416" s="22"/>
      <c r="R416" s="22"/>
      <c r="S416" s="22"/>
    </row>
    <row r="417" spans="1:19" x14ac:dyDescent="0.15">
      <c r="A417" s="22"/>
      <c r="B417" s="22"/>
      <c r="C417" s="22"/>
      <c r="D417" s="22"/>
      <c r="E417" s="22"/>
      <c r="F417" s="22"/>
      <c r="G417" s="41"/>
      <c r="H417" s="15">
        <v>20</v>
      </c>
      <c r="I417" s="15">
        <v>21</v>
      </c>
      <c r="J417" s="15">
        <f t="shared" si="90"/>
        <v>12</v>
      </c>
      <c r="K417" s="15">
        <f t="shared" si="89"/>
        <v>13</v>
      </c>
      <c r="L417" s="15">
        <v>-13.06</v>
      </c>
      <c r="M417" s="22">
        <v>7.74</v>
      </c>
      <c r="N417" s="15">
        <f t="shared" si="88"/>
        <v>1.6873385012919897</v>
      </c>
      <c r="O417" s="22"/>
      <c r="P417" s="22"/>
      <c r="Q417" s="22"/>
      <c r="R417" s="22"/>
      <c r="S417" s="22"/>
    </row>
    <row r="418" spans="1:19" x14ac:dyDescent="0.15">
      <c r="A418" s="22"/>
      <c r="B418" s="22"/>
      <c r="C418" s="22"/>
      <c r="D418" s="22"/>
      <c r="E418" s="22"/>
      <c r="F418" s="22"/>
      <c r="G418" s="41"/>
      <c r="H418" s="15">
        <v>20</v>
      </c>
      <c r="I418" s="15">
        <v>21</v>
      </c>
      <c r="J418" s="15">
        <f t="shared" si="90"/>
        <v>13</v>
      </c>
      <c r="K418" s="15">
        <f t="shared" si="89"/>
        <v>14</v>
      </c>
      <c r="L418" s="15">
        <v>-15.65</v>
      </c>
      <c r="M418" s="22">
        <v>7.69</v>
      </c>
      <c r="N418" s="15">
        <f t="shared" si="88"/>
        <v>2.0351105331599477</v>
      </c>
      <c r="O418" s="22"/>
      <c r="P418" s="22"/>
      <c r="Q418" s="22"/>
      <c r="R418" s="22"/>
      <c r="S418" s="22"/>
    </row>
    <row r="419" spans="1:19" x14ac:dyDescent="0.15">
      <c r="A419" s="22"/>
      <c r="B419" s="22"/>
      <c r="C419" s="22"/>
      <c r="D419" s="22"/>
      <c r="E419" s="22"/>
      <c r="F419" s="22"/>
      <c r="G419" s="41"/>
      <c r="H419" s="15">
        <v>20</v>
      </c>
      <c r="I419" s="15">
        <v>21</v>
      </c>
      <c r="J419" s="15">
        <f t="shared" si="90"/>
        <v>14</v>
      </c>
      <c r="K419" s="15">
        <f t="shared" si="89"/>
        <v>15</v>
      </c>
      <c r="L419" s="15">
        <v>-17.98</v>
      </c>
      <c r="M419" s="22">
        <v>7.68</v>
      </c>
      <c r="N419" s="15">
        <f t="shared" si="88"/>
        <v>2.3411458333333335</v>
      </c>
      <c r="O419" s="22"/>
      <c r="P419" s="22"/>
      <c r="Q419" s="22"/>
      <c r="R419" s="22"/>
      <c r="S419" s="22"/>
    </row>
    <row r="420" spans="1:19" x14ac:dyDescent="0.15">
      <c r="A420" s="22"/>
      <c r="B420" s="22"/>
      <c r="C420" s="22"/>
      <c r="D420" s="22"/>
      <c r="E420" s="22"/>
      <c r="F420" s="22"/>
      <c r="G420" s="41"/>
      <c r="H420" s="15">
        <v>20</v>
      </c>
      <c r="I420" s="15">
        <v>21</v>
      </c>
      <c r="J420" s="15">
        <f t="shared" si="90"/>
        <v>15</v>
      </c>
      <c r="K420" s="15">
        <f t="shared" si="89"/>
        <v>16</v>
      </c>
      <c r="L420" s="15">
        <v>-29.24</v>
      </c>
      <c r="M420" s="22">
        <v>7.7</v>
      </c>
      <c r="N420" s="15">
        <f t="shared" si="88"/>
        <v>3.7974025974025971</v>
      </c>
      <c r="O420" s="22"/>
      <c r="P420" s="22"/>
      <c r="Q420" s="22"/>
      <c r="R420" s="22"/>
      <c r="S420" s="22"/>
    </row>
    <row r="421" spans="1:19" x14ac:dyDescent="0.15">
      <c r="A421" s="22"/>
      <c r="B421" s="22"/>
      <c r="C421" s="22"/>
      <c r="D421" s="22"/>
      <c r="E421" s="22"/>
      <c r="F421" s="22"/>
      <c r="G421" s="41"/>
      <c r="H421" s="15">
        <v>20</v>
      </c>
      <c r="I421" s="15">
        <v>21</v>
      </c>
      <c r="J421" s="15">
        <f t="shared" si="90"/>
        <v>16</v>
      </c>
      <c r="K421" s="15">
        <f t="shared" si="89"/>
        <v>17</v>
      </c>
      <c r="L421" s="15">
        <v>-50.49</v>
      </c>
      <c r="M421" s="22">
        <v>7.82</v>
      </c>
      <c r="N421" s="15">
        <f t="shared" si="88"/>
        <v>6.4565217391304346</v>
      </c>
      <c r="O421" s="22"/>
      <c r="P421" s="22"/>
      <c r="Q421" s="22"/>
      <c r="R421" s="22"/>
      <c r="S421" s="22"/>
    </row>
    <row r="422" spans="1:19" x14ac:dyDescent="0.15">
      <c r="A422" s="22"/>
      <c r="B422" s="22"/>
      <c r="C422" s="22"/>
      <c r="D422" s="22"/>
      <c r="E422" s="22"/>
      <c r="F422" s="22"/>
      <c r="G422" s="41"/>
      <c r="H422" s="15">
        <v>20</v>
      </c>
      <c r="I422" s="15">
        <v>21</v>
      </c>
      <c r="J422" s="15">
        <f t="shared" si="90"/>
        <v>17</v>
      </c>
      <c r="K422" s="15">
        <f t="shared" si="89"/>
        <v>18</v>
      </c>
      <c r="L422" s="15">
        <v>-114.81</v>
      </c>
      <c r="M422" s="22">
        <v>7.71</v>
      </c>
      <c r="N422" s="15">
        <f t="shared" si="88"/>
        <v>14.891050583657588</v>
      </c>
      <c r="O422" s="22"/>
      <c r="P422" s="22"/>
      <c r="Q422" s="22"/>
      <c r="R422" s="22"/>
      <c r="S422" s="22"/>
    </row>
    <row r="423" spans="1:19" x14ac:dyDescent="0.15">
      <c r="A423" s="22"/>
      <c r="B423" s="22"/>
      <c r="C423" s="22"/>
      <c r="D423" s="22"/>
      <c r="E423" s="22"/>
      <c r="F423" s="22"/>
      <c r="G423" s="41"/>
      <c r="H423" s="15">
        <v>20</v>
      </c>
      <c r="I423" s="15">
        <v>21</v>
      </c>
      <c r="J423" s="15">
        <f t="shared" si="90"/>
        <v>18</v>
      </c>
      <c r="K423" s="15">
        <f t="shared" si="89"/>
        <v>19</v>
      </c>
      <c r="L423" s="15">
        <v>-505.86</v>
      </c>
      <c r="M423" s="22">
        <v>7.61</v>
      </c>
      <c r="N423" s="15">
        <f t="shared" si="88"/>
        <v>66.473061760840991</v>
      </c>
      <c r="O423" s="22"/>
      <c r="P423" s="22"/>
      <c r="Q423" s="22"/>
      <c r="R423" s="22"/>
      <c r="S423" s="22"/>
    </row>
    <row r="424" spans="1:19" x14ac:dyDescent="0.15">
      <c r="A424" s="22"/>
      <c r="B424" s="22"/>
      <c r="C424" s="22"/>
      <c r="D424" s="22"/>
      <c r="E424" s="22"/>
      <c r="F424" s="22"/>
      <c r="G424" s="41"/>
      <c r="H424" s="15">
        <v>21</v>
      </c>
      <c r="I424" s="15">
        <v>22</v>
      </c>
      <c r="J424" s="15">
        <f>I424+1</f>
        <v>23</v>
      </c>
      <c r="K424" s="15">
        <f>J424+1</f>
        <v>24</v>
      </c>
      <c r="L424" s="15">
        <v>-418.74</v>
      </c>
      <c r="M424" s="22">
        <v>6.68</v>
      </c>
      <c r="N424" s="15">
        <f t="shared" si="88"/>
        <v>62.685628742514972</v>
      </c>
      <c r="O424" s="22"/>
      <c r="P424" s="22"/>
      <c r="Q424" s="22"/>
      <c r="R424" s="22"/>
      <c r="S424" s="22"/>
    </row>
    <row r="425" spans="1:19" x14ac:dyDescent="0.15">
      <c r="A425" s="22"/>
      <c r="B425" s="22"/>
      <c r="C425" s="22"/>
      <c r="D425" s="22"/>
      <c r="E425" s="22"/>
      <c r="F425" s="22"/>
      <c r="G425" s="41"/>
      <c r="H425" s="15">
        <v>21</v>
      </c>
      <c r="I425" s="15">
        <v>22</v>
      </c>
      <c r="J425" s="15">
        <f>J424+1</f>
        <v>24</v>
      </c>
      <c r="K425" s="15">
        <v>1</v>
      </c>
      <c r="L425" s="15">
        <v>-125.53</v>
      </c>
      <c r="M425" s="22">
        <v>6.67</v>
      </c>
      <c r="N425" s="15">
        <f t="shared" si="88"/>
        <v>18.820089955022489</v>
      </c>
      <c r="O425" s="22"/>
      <c r="P425" s="22"/>
      <c r="Q425" s="22"/>
      <c r="R425" s="22"/>
      <c r="S425" s="22"/>
    </row>
    <row r="426" spans="1:19" x14ac:dyDescent="0.15">
      <c r="A426" s="22"/>
      <c r="B426" s="22"/>
      <c r="C426" s="22"/>
      <c r="D426" s="22"/>
      <c r="E426" s="22"/>
      <c r="F426" s="22"/>
      <c r="G426" s="41"/>
      <c r="H426" s="15">
        <v>21</v>
      </c>
      <c r="I426" s="15">
        <v>22</v>
      </c>
      <c r="J426" s="15">
        <v>1</v>
      </c>
      <c r="K426" s="15">
        <f t="shared" ref="K426:K444" si="91">K425+1</f>
        <v>2</v>
      </c>
      <c r="L426" s="15">
        <v>-46.67</v>
      </c>
      <c r="M426" s="22">
        <v>6.28</v>
      </c>
      <c r="N426" s="15">
        <f t="shared" si="88"/>
        <v>7.4315286624203818</v>
      </c>
      <c r="O426" s="22"/>
      <c r="P426" s="22"/>
      <c r="Q426" s="22"/>
      <c r="R426" s="22"/>
      <c r="S426" s="22"/>
    </row>
    <row r="427" spans="1:19" x14ac:dyDescent="0.15">
      <c r="A427" s="22"/>
      <c r="B427" s="22"/>
      <c r="C427" s="22"/>
      <c r="D427" s="22"/>
      <c r="E427" s="22"/>
      <c r="F427" s="22"/>
      <c r="G427" s="41"/>
      <c r="H427" s="15">
        <v>21</v>
      </c>
      <c r="I427" s="15">
        <v>22</v>
      </c>
      <c r="J427" s="15">
        <f t="shared" ref="J427:J444" si="92">J426+1</f>
        <v>2</v>
      </c>
      <c r="K427" s="15">
        <f t="shared" si="91"/>
        <v>3</v>
      </c>
      <c r="L427" s="15">
        <v>-19.829999999999998</v>
      </c>
      <c r="M427" s="22">
        <v>6.3</v>
      </c>
      <c r="N427" s="15">
        <f t="shared" si="88"/>
        <v>3.1476190476190475</v>
      </c>
      <c r="O427" s="22"/>
      <c r="P427" s="22"/>
      <c r="Q427" s="22"/>
      <c r="R427" s="22"/>
      <c r="S427" s="22"/>
    </row>
    <row r="428" spans="1:19" x14ac:dyDescent="0.15">
      <c r="A428" s="22"/>
      <c r="B428" s="22"/>
      <c r="C428" s="22"/>
      <c r="D428" s="22"/>
      <c r="E428" s="22"/>
      <c r="F428" s="22"/>
      <c r="G428" s="41"/>
      <c r="H428" s="15">
        <v>21</v>
      </c>
      <c r="I428" s="15">
        <v>22</v>
      </c>
      <c r="J428" s="15">
        <f t="shared" si="92"/>
        <v>3</v>
      </c>
      <c r="K428" s="15">
        <f t="shared" si="91"/>
        <v>4</v>
      </c>
      <c r="L428" s="15">
        <v>-15.19</v>
      </c>
      <c r="M428" s="22">
        <v>6.25</v>
      </c>
      <c r="N428" s="15">
        <f t="shared" si="88"/>
        <v>2.4304000000000001</v>
      </c>
      <c r="O428" s="22"/>
      <c r="P428" s="22"/>
      <c r="Q428" s="22"/>
      <c r="R428" s="22"/>
      <c r="S428" s="22"/>
    </row>
    <row r="429" spans="1:19" x14ac:dyDescent="0.15">
      <c r="A429" s="22"/>
      <c r="B429" s="22"/>
      <c r="C429" s="22"/>
      <c r="D429" s="22"/>
      <c r="E429" s="22"/>
      <c r="F429" s="22"/>
      <c r="G429" s="41"/>
      <c r="H429" s="15">
        <v>21</v>
      </c>
      <c r="I429" s="15">
        <v>22</v>
      </c>
      <c r="J429" s="15">
        <f t="shared" si="92"/>
        <v>4</v>
      </c>
      <c r="K429" s="15">
        <f t="shared" si="91"/>
        <v>5</v>
      </c>
      <c r="L429" s="15">
        <v>-11.26</v>
      </c>
      <c r="M429" s="22">
        <v>6.1</v>
      </c>
      <c r="N429" s="15">
        <f t="shared" si="88"/>
        <v>1.8459016393442624</v>
      </c>
      <c r="O429" s="22"/>
      <c r="P429" s="22"/>
      <c r="Q429" s="22"/>
      <c r="R429" s="22"/>
      <c r="S429" s="22"/>
    </row>
    <row r="430" spans="1:19" x14ac:dyDescent="0.15">
      <c r="A430" s="22"/>
      <c r="B430" s="22"/>
      <c r="C430" s="22"/>
      <c r="D430" s="22"/>
      <c r="E430" s="22"/>
      <c r="F430" s="22"/>
      <c r="G430" s="41"/>
      <c r="H430" s="15">
        <v>21</v>
      </c>
      <c r="I430" s="15">
        <v>22</v>
      </c>
      <c r="J430" s="15">
        <f t="shared" si="92"/>
        <v>5</v>
      </c>
      <c r="K430" s="15">
        <f t="shared" si="91"/>
        <v>6</v>
      </c>
      <c r="L430" s="15">
        <v>-8.5500000000000007</v>
      </c>
      <c r="M430" s="22">
        <v>6.18</v>
      </c>
      <c r="N430" s="15">
        <f t="shared" si="88"/>
        <v>1.3834951456310682</v>
      </c>
      <c r="O430" s="22"/>
      <c r="P430" s="22"/>
      <c r="Q430" s="22"/>
      <c r="R430" s="22"/>
      <c r="S430" s="22"/>
    </row>
    <row r="431" spans="1:19" x14ac:dyDescent="0.15">
      <c r="A431" s="22"/>
      <c r="B431" s="22"/>
      <c r="C431" s="22"/>
      <c r="D431" s="22"/>
      <c r="E431" s="22"/>
      <c r="F431" s="22"/>
      <c r="G431" s="41"/>
      <c r="H431" s="15">
        <v>21</v>
      </c>
      <c r="I431" s="15">
        <v>22</v>
      </c>
      <c r="J431" s="15">
        <f t="shared" si="92"/>
        <v>6</v>
      </c>
      <c r="K431" s="15">
        <f t="shared" si="91"/>
        <v>7</v>
      </c>
      <c r="L431" s="15">
        <v>-6.43</v>
      </c>
      <c r="M431" s="22">
        <v>6.17</v>
      </c>
      <c r="N431" s="15">
        <f t="shared" si="88"/>
        <v>1.0421393841166937</v>
      </c>
      <c r="O431" s="22"/>
      <c r="P431" s="22"/>
      <c r="Q431" s="22"/>
      <c r="R431" s="22"/>
      <c r="S431" s="22"/>
    </row>
    <row r="432" spans="1:19" x14ac:dyDescent="0.15">
      <c r="A432" s="22"/>
      <c r="B432" s="22"/>
      <c r="C432" s="22"/>
      <c r="D432" s="22"/>
      <c r="E432" s="22"/>
      <c r="F432" s="22"/>
      <c r="G432" s="41"/>
      <c r="H432" s="15">
        <v>21</v>
      </c>
      <c r="I432" s="15">
        <v>22</v>
      </c>
      <c r="J432" s="15">
        <f t="shared" si="92"/>
        <v>7</v>
      </c>
      <c r="K432" s="15">
        <f t="shared" si="91"/>
        <v>8</v>
      </c>
      <c r="L432" s="15">
        <v>-5.97</v>
      </c>
      <c r="M432" s="22">
        <v>6.16</v>
      </c>
      <c r="N432" s="15">
        <f t="shared" si="88"/>
        <v>0.9691558441558441</v>
      </c>
      <c r="O432" s="22"/>
      <c r="P432" s="22"/>
      <c r="Q432" s="22"/>
      <c r="R432" s="22"/>
      <c r="S432" s="22"/>
    </row>
    <row r="433" spans="1:19" x14ac:dyDescent="0.15">
      <c r="A433" s="22"/>
      <c r="B433" s="22"/>
      <c r="C433" s="22"/>
      <c r="D433" s="22"/>
      <c r="E433" s="22"/>
      <c r="F433" s="22"/>
      <c r="G433" s="41"/>
      <c r="H433" s="15">
        <v>21</v>
      </c>
      <c r="I433" s="15">
        <v>22</v>
      </c>
      <c r="J433" s="15">
        <f t="shared" si="92"/>
        <v>8</v>
      </c>
      <c r="K433" s="15">
        <f t="shared" si="91"/>
        <v>9</v>
      </c>
      <c r="L433" s="15">
        <v>-6.86</v>
      </c>
      <c r="M433" s="22">
        <v>6.15</v>
      </c>
      <c r="N433" s="15">
        <f t="shared" si="88"/>
        <v>1.1154471544715447</v>
      </c>
      <c r="O433" s="22"/>
      <c r="P433" s="22"/>
      <c r="Q433" s="22"/>
      <c r="R433" s="22"/>
      <c r="S433" s="22"/>
    </row>
    <row r="434" spans="1:19" x14ac:dyDescent="0.15">
      <c r="A434" s="22"/>
      <c r="B434" s="22"/>
      <c r="C434" s="22"/>
      <c r="D434" s="22"/>
      <c r="E434" s="22"/>
      <c r="F434" s="22"/>
      <c r="G434" s="41"/>
      <c r="H434" s="15">
        <v>21</v>
      </c>
      <c r="I434" s="15">
        <v>22</v>
      </c>
      <c r="J434" s="15">
        <f t="shared" si="92"/>
        <v>9</v>
      </c>
      <c r="K434" s="15">
        <f t="shared" si="91"/>
        <v>10</v>
      </c>
      <c r="L434" s="15">
        <v>-6.77</v>
      </c>
      <c r="M434" s="22">
        <v>6.18</v>
      </c>
      <c r="N434" s="15">
        <f t="shared" si="88"/>
        <v>1.0954692556634305</v>
      </c>
      <c r="O434" s="22"/>
      <c r="P434" s="22"/>
      <c r="Q434" s="22"/>
      <c r="R434" s="22"/>
      <c r="S434" s="22"/>
    </row>
    <row r="435" spans="1:19" x14ac:dyDescent="0.15">
      <c r="A435" s="22"/>
      <c r="B435" s="22"/>
      <c r="C435" s="22"/>
      <c r="D435" s="22"/>
      <c r="E435" s="22"/>
      <c r="F435" s="22"/>
      <c r="G435" s="41"/>
      <c r="H435" s="15">
        <v>21</v>
      </c>
      <c r="I435" s="15">
        <v>22</v>
      </c>
      <c r="J435" s="15">
        <f t="shared" si="92"/>
        <v>10</v>
      </c>
      <c r="K435" s="15">
        <f t="shared" si="91"/>
        <v>11</v>
      </c>
      <c r="L435" s="15">
        <v>-4.95</v>
      </c>
      <c r="M435" s="22">
        <v>6.1</v>
      </c>
      <c r="N435" s="15">
        <f t="shared" si="88"/>
        <v>0.8114754098360657</v>
      </c>
      <c r="O435" s="22"/>
      <c r="P435" s="22"/>
      <c r="Q435" s="22"/>
      <c r="R435" s="22"/>
      <c r="S435" s="22"/>
    </row>
    <row r="436" spans="1:19" x14ac:dyDescent="0.15">
      <c r="A436" s="22"/>
      <c r="B436" s="22"/>
      <c r="C436" s="22"/>
      <c r="D436" s="22"/>
      <c r="E436" s="22"/>
      <c r="F436" s="22"/>
      <c r="G436" s="41"/>
      <c r="H436" s="15">
        <v>21</v>
      </c>
      <c r="I436" s="15">
        <v>22</v>
      </c>
      <c r="J436" s="15">
        <f t="shared" si="92"/>
        <v>11</v>
      </c>
      <c r="K436" s="15">
        <f t="shared" si="91"/>
        <v>12</v>
      </c>
      <c r="L436" s="15">
        <v>-8.5</v>
      </c>
      <c r="M436" s="22">
        <v>6.41</v>
      </c>
      <c r="N436" s="15">
        <f t="shared" si="88"/>
        <v>1.3260530421216847</v>
      </c>
      <c r="O436" s="22"/>
      <c r="P436" s="22"/>
      <c r="Q436" s="22"/>
      <c r="R436" s="22"/>
      <c r="S436" s="22"/>
    </row>
    <row r="437" spans="1:19" x14ac:dyDescent="0.15">
      <c r="A437" s="22"/>
      <c r="B437" s="22"/>
      <c r="C437" s="22"/>
      <c r="D437" s="22"/>
      <c r="E437" s="22"/>
      <c r="F437" s="22"/>
      <c r="G437" s="41"/>
      <c r="H437" s="15">
        <v>21</v>
      </c>
      <c r="I437" s="15">
        <v>22</v>
      </c>
      <c r="J437" s="15">
        <f t="shared" si="92"/>
        <v>12</v>
      </c>
      <c r="K437" s="15">
        <f t="shared" si="91"/>
        <v>13</v>
      </c>
      <c r="L437" s="15">
        <v>-8.68</v>
      </c>
      <c r="M437" s="22">
        <v>6.49</v>
      </c>
      <c r="N437" s="15">
        <f t="shared" si="88"/>
        <v>1.337442218798151</v>
      </c>
      <c r="O437" s="22"/>
      <c r="P437" s="22"/>
      <c r="Q437" s="22"/>
      <c r="R437" s="22"/>
      <c r="S437" s="22"/>
    </row>
    <row r="438" spans="1:19" x14ac:dyDescent="0.15">
      <c r="A438" s="22"/>
      <c r="B438" s="22"/>
      <c r="C438" s="22"/>
      <c r="D438" s="22"/>
      <c r="E438" s="22"/>
      <c r="F438" s="22"/>
      <c r="G438" s="41"/>
      <c r="H438" s="15">
        <v>21</v>
      </c>
      <c r="I438" s="15">
        <v>22</v>
      </c>
      <c r="J438" s="15">
        <f t="shared" si="92"/>
        <v>13</v>
      </c>
      <c r="K438" s="15">
        <f t="shared" si="91"/>
        <v>14</v>
      </c>
      <c r="L438" s="15">
        <v>-10.51</v>
      </c>
      <c r="M438" s="22">
        <v>6.45</v>
      </c>
      <c r="N438" s="15">
        <f t="shared" si="88"/>
        <v>1.6294573643410852</v>
      </c>
      <c r="O438" s="22"/>
      <c r="P438" s="22"/>
      <c r="Q438" s="22"/>
      <c r="R438" s="22"/>
      <c r="S438" s="22"/>
    </row>
    <row r="439" spans="1:19" x14ac:dyDescent="0.15">
      <c r="A439" s="22"/>
      <c r="B439" s="22"/>
      <c r="C439" s="22"/>
      <c r="D439" s="22"/>
      <c r="E439" s="22"/>
      <c r="F439" s="22"/>
      <c r="G439" s="41"/>
      <c r="H439" s="15">
        <v>21</v>
      </c>
      <c r="I439" s="15">
        <v>22</v>
      </c>
      <c r="J439" s="15">
        <f t="shared" si="92"/>
        <v>14</v>
      </c>
      <c r="K439" s="15">
        <f t="shared" si="91"/>
        <v>15</v>
      </c>
      <c r="L439" s="15">
        <v>-13.24</v>
      </c>
      <c r="M439" s="22">
        <v>6.65</v>
      </c>
      <c r="N439" s="15">
        <f t="shared" si="88"/>
        <v>1.9909774436090224</v>
      </c>
      <c r="O439" s="22"/>
      <c r="P439" s="22"/>
      <c r="Q439" s="22"/>
      <c r="R439" s="22"/>
      <c r="S439" s="22"/>
    </row>
    <row r="440" spans="1:19" x14ac:dyDescent="0.15">
      <c r="A440" s="22"/>
      <c r="B440" s="22"/>
      <c r="C440" s="22"/>
      <c r="D440" s="22"/>
      <c r="E440" s="22"/>
      <c r="F440" s="22"/>
      <c r="G440" s="41"/>
      <c r="H440" s="15">
        <v>21</v>
      </c>
      <c r="I440" s="15">
        <v>22</v>
      </c>
      <c r="J440" s="15">
        <f t="shared" si="92"/>
        <v>15</v>
      </c>
      <c r="K440" s="15">
        <f t="shared" si="91"/>
        <v>16</v>
      </c>
      <c r="L440" s="15">
        <v>-18.940000000000001</v>
      </c>
      <c r="M440" s="22">
        <v>6.78</v>
      </c>
      <c r="N440" s="15">
        <f t="shared" si="88"/>
        <v>2.7935103244837758</v>
      </c>
      <c r="O440" s="22"/>
      <c r="P440" s="22"/>
      <c r="Q440" s="22"/>
      <c r="R440" s="22"/>
      <c r="S440" s="22"/>
    </row>
    <row r="441" spans="1:19" x14ac:dyDescent="0.15">
      <c r="A441" s="22"/>
      <c r="B441" s="22"/>
      <c r="C441" s="22"/>
      <c r="D441" s="22"/>
      <c r="E441" s="22"/>
      <c r="F441" s="22"/>
      <c r="G441" s="41"/>
      <c r="H441" s="15">
        <v>21</v>
      </c>
      <c r="I441" s="15">
        <v>22</v>
      </c>
      <c r="J441" s="15">
        <f t="shared" si="92"/>
        <v>16</v>
      </c>
      <c r="K441" s="15">
        <f t="shared" si="91"/>
        <v>17</v>
      </c>
      <c r="L441" s="15">
        <v>-26.19</v>
      </c>
      <c r="M441" s="22">
        <v>6.6</v>
      </c>
      <c r="N441" s="15">
        <f t="shared" si="88"/>
        <v>3.9681818181818187</v>
      </c>
      <c r="O441" s="22"/>
      <c r="P441" s="22"/>
      <c r="Q441" s="22"/>
      <c r="R441" s="22"/>
      <c r="S441" s="22"/>
    </row>
    <row r="442" spans="1:19" x14ac:dyDescent="0.15">
      <c r="A442" s="22"/>
      <c r="B442" s="22"/>
      <c r="C442" s="22"/>
      <c r="D442" s="22"/>
      <c r="E442" s="22"/>
      <c r="F442" s="22"/>
      <c r="G442" s="41"/>
      <c r="H442" s="15">
        <v>21</v>
      </c>
      <c r="I442" s="15">
        <v>22</v>
      </c>
      <c r="J442" s="15">
        <f t="shared" si="92"/>
        <v>17</v>
      </c>
      <c r="K442" s="15">
        <f t="shared" si="91"/>
        <v>18</v>
      </c>
      <c r="L442" s="15">
        <v>-47.22</v>
      </c>
      <c r="M442" s="22">
        <v>6.5</v>
      </c>
      <c r="N442" s="15">
        <f t="shared" si="88"/>
        <v>7.264615384615384</v>
      </c>
      <c r="O442" s="22"/>
      <c r="P442" s="22"/>
      <c r="Q442" s="22"/>
      <c r="R442" s="22"/>
      <c r="S442" s="22"/>
    </row>
    <row r="443" spans="1:19" x14ac:dyDescent="0.15">
      <c r="A443" s="22"/>
      <c r="B443" s="22"/>
      <c r="C443" s="22"/>
      <c r="D443" s="22"/>
      <c r="E443" s="22"/>
      <c r="F443" s="22"/>
      <c r="G443" s="41"/>
      <c r="H443" s="15">
        <v>21</v>
      </c>
      <c r="I443" s="15">
        <v>22</v>
      </c>
      <c r="J443" s="15">
        <f t="shared" si="92"/>
        <v>18</v>
      </c>
      <c r="K443" s="15">
        <f t="shared" si="91"/>
        <v>19</v>
      </c>
      <c r="L443" s="15">
        <v>-114.99</v>
      </c>
      <c r="M443" s="22">
        <v>6.17</v>
      </c>
      <c r="N443" s="15">
        <f t="shared" si="88"/>
        <v>18.636952998379254</v>
      </c>
      <c r="O443" s="22"/>
      <c r="P443" s="22"/>
      <c r="Q443" s="22"/>
      <c r="R443" s="22"/>
      <c r="S443" s="22"/>
    </row>
    <row r="444" spans="1:19" x14ac:dyDescent="0.15">
      <c r="A444" s="22"/>
      <c r="B444" s="22"/>
      <c r="C444" s="22"/>
      <c r="D444" s="22"/>
      <c r="E444" s="22"/>
      <c r="F444" s="22"/>
      <c r="G444" s="41"/>
      <c r="H444" s="15">
        <v>21</v>
      </c>
      <c r="I444" s="15">
        <v>22</v>
      </c>
      <c r="J444" s="15">
        <f t="shared" si="92"/>
        <v>19</v>
      </c>
      <c r="K444" s="15">
        <f t="shared" si="91"/>
        <v>20</v>
      </c>
      <c r="L444" s="15">
        <v>-475.7</v>
      </c>
      <c r="M444" s="22">
        <v>6.72</v>
      </c>
      <c r="N444" s="15">
        <f t="shared" si="88"/>
        <v>70.788690476190482</v>
      </c>
      <c r="O444" s="22"/>
      <c r="P444" s="22"/>
      <c r="Q444" s="22"/>
      <c r="R444" s="22"/>
      <c r="S444" s="22"/>
    </row>
    <row r="445" spans="1:19" x14ac:dyDescent="0.15">
      <c r="A445" s="22"/>
      <c r="B445" s="22"/>
      <c r="C445" s="22"/>
      <c r="D445" s="22"/>
      <c r="E445" s="22"/>
      <c r="F445" s="22"/>
      <c r="G445" s="41"/>
      <c r="H445" s="15">
        <v>22</v>
      </c>
      <c r="I445" s="15">
        <v>23</v>
      </c>
      <c r="J445" s="15">
        <f>I445+1</f>
        <v>24</v>
      </c>
      <c r="K445" s="15">
        <v>1</v>
      </c>
      <c r="L445" s="15">
        <v>-359.29</v>
      </c>
      <c r="M445" s="22">
        <v>4.8600000000000003</v>
      </c>
      <c r="N445" s="15">
        <f t="shared" si="88"/>
        <v>73.927983539094654</v>
      </c>
      <c r="O445" s="22"/>
      <c r="P445" s="22"/>
      <c r="Q445" s="22"/>
      <c r="R445" s="22"/>
      <c r="S445" s="22"/>
    </row>
    <row r="446" spans="1:19" x14ac:dyDescent="0.15">
      <c r="A446" s="22"/>
      <c r="B446" s="22"/>
      <c r="C446" s="22"/>
      <c r="D446" s="22"/>
      <c r="E446" s="22"/>
      <c r="F446" s="22"/>
      <c r="G446" s="41"/>
      <c r="H446" s="15">
        <v>22</v>
      </c>
      <c r="I446" s="15">
        <v>23</v>
      </c>
      <c r="J446" s="15">
        <v>1</v>
      </c>
      <c r="K446" s="15">
        <f t="shared" ref="K446:K465" si="93">K445+1</f>
        <v>2</v>
      </c>
      <c r="L446" s="15">
        <v>-66.7</v>
      </c>
      <c r="M446" s="22">
        <v>3.94</v>
      </c>
      <c r="N446" s="15">
        <f t="shared" si="88"/>
        <v>16.928934010152286</v>
      </c>
      <c r="O446" s="22"/>
      <c r="P446" s="22"/>
      <c r="Q446" s="22"/>
      <c r="R446" s="22"/>
      <c r="S446" s="22"/>
    </row>
    <row r="447" spans="1:19" x14ac:dyDescent="0.15">
      <c r="A447" s="22"/>
      <c r="B447" s="22"/>
      <c r="C447" s="22"/>
      <c r="D447" s="22"/>
      <c r="E447" s="22"/>
      <c r="F447" s="22"/>
      <c r="G447" s="41"/>
      <c r="H447" s="15">
        <v>22</v>
      </c>
      <c r="I447" s="15">
        <v>23</v>
      </c>
      <c r="J447" s="15">
        <f t="shared" ref="J447:J465" si="94">J446+1</f>
        <v>2</v>
      </c>
      <c r="K447" s="15">
        <f t="shared" si="93"/>
        <v>3</v>
      </c>
      <c r="L447" s="15">
        <v>-25.32</v>
      </c>
      <c r="M447" s="22">
        <v>4.1100000000000003</v>
      </c>
      <c r="N447" s="15">
        <f t="shared" si="88"/>
        <v>6.1605839416058394</v>
      </c>
      <c r="O447" s="22"/>
      <c r="P447" s="22"/>
      <c r="Q447" s="22"/>
      <c r="R447" s="22"/>
      <c r="S447" s="22"/>
    </row>
    <row r="448" spans="1:19" x14ac:dyDescent="0.15">
      <c r="A448" s="22"/>
      <c r="B448" s="22"/>
      <c r="C448" s="22"/>
      <c r="D448" s="22"/>
      <c r="E448" s="22"/>
      <c r="F448" s="22"/>
      <c r="G448" s="41"/>
      <c r="H448" s="15">
        <v>22</v>
      </c>
      <c r="I448" s="15">
        <v>23</v>
      </c>
      <c r="J448" s="15">
        <f t="shared" si="94"/>
        <v>3</v>
      </c>
      <c r="K448" s="15">
        <f t="shared" si="93"/>
        <v>4</v>
      </c>
      <c r="L448" s="15">
        <v>-15.28</v>
      </c>
      <c r="M448" s="22">
        <v>4.29</v>
      </c>
      <c r="N448" s="15">
        <f t="shared" si="88"/>
        <v>3.5617715617715615</v>
      </c>
      <c r="O448" s="22"/>
      <c r="P448" s="22"/>
      <c r="Q448" s="22"/>
      <c r="R448" s="22"/>
      <c r="S448" s="22"/>
    </row>
    <row r="449" spans="1:19" x14ac:dyDescent="0.15">
      <c r="A449" s="22"/>
      <c r="B449" s="22"/>
      <c r="C449" s="22"/>
      <c r="D449" s="22"/>
      <c r="E449" s="22"/>
      <c r="F449" s="22"/>
      <c r="G449" s="41"/>
      <c r="H449" s="15">
        <v>22</v>
      </c>
      <c r="I449" s="15">
        <v>23</v>
      </c>
      <c r="J449" s="15">
        <f t="shared" si="94"/>
        <v>4</v>
      </c>
      <c r="K449" s="15">
        <f t="shared" si="93"/>
        <v>5</v>
      </c>
      <c r="L449" s="15">
        <v>-9.86</v>
      </c>
      <c r="M449" s="22">
        <v>4.5599999999999996</v>
      </c>
      <c r="N449" s="15">
        <f t="shared" si="88"/>
        <v>2.1622807017543861</v>
      </c>
      <c r="O449" s="22"/>
      <c r="P449" s="22"/>
      <c r="Q449" s="22"/>
      <c r="R449" s="22"/>
      <c r="S449" s="22"/>
    </row>
    <row r="450" spans="1:19" x14ac:dyDescent="0.15">
      <c r="A450" s="22"/>
      <c r="B450" s="22"/>
      <c r="C450" s="22"/>
      <c r="D450" s="22"/>
      <c r="E450" s="22"/>
      <c r="F450" s="22"/>
      <c r="G450" s="41"/>
      <c r="H450" s="15">
        <v>22</v>
      </c>
      <c r="I450" s="15">
        <v>23</v>
      </c>
      <c r="J450" s="15">
        <f t="shared" si="94"/>
        <v>5</v>
      </c>
      <c r="K450" s="15">
        <f t="shared" si="93"/>
        <v>6</v>
      </c>
      <c r="L450" s="15">
        <v>-7.23</v>
      </c>
      <c r="M450" s="22">
        <v>4.66</v>
      </c>
      <c r="N450" s="15">
        <f t="shared" si="88"/>
        <v>1.5515021459227469</v>
      </c>
      <c r="O450" s="22"/>
      <c r="P450" s="22"/>
      <c r="Q450" s="22"/>
      <c r="R450" s="22"/>
      <c r="S450" s="22"/>
    </row>
    <row r="451" spans="1:19" x14ac:dyDescent="0.15">
      <c r="A451" s="22"/>
      <c r="B451" s="22"/>
      <c r="C451" s="22"/>
      <c r="D451" s="22"/>
      <c r="E451" s="22"/>
      <c r="F451" s="22"/>
      <c r="G451" s="41"/>
      <c r="H451" s="15">
        <v>22</v>
      </c>
      <c r="I451" s="15">
        <v>23</v>
      </c>
      <c r="J451" s="15">
        <f t="shared" si="94"/>
        <v>6</v>
      </c>
      <c r="K451" s="15">
        <f t="shared" si="93"/>
        <v>7</v>
      </c>
      <c r="L451" s="15">
        <v>-4.34</v>
      </c>
      <c r="M451" s="22">
        <v>4.2</v>
      </c>
      <c r="N451" s="15">
        <f t="shared" si="88"/>
        <v>1.0333333333333332</v>
      </c>
      <c r="O451" s="22"/>
      <c r="P451" s="22"/>
      <c r="Q451" s="22"/>
      <c r="R451" s="22"/>
      <c r="S451" s="22"/>
    </row>
    <row r="452" spans="1:19" x14ac:dyDescent="0.15">
      <c r="A452" s="22"/>
      <c r="B452" s="22"/>
      <c r="C452" s="22"/>
      <c r="D452" s="22"/>
      <c r="E452" s="22"/>
      <c r="F452" s="22"/>
      <c r="G452" s="41"/>
      <c r="H452" s="15">
        <v>22</v>
      </c>
      <c r="I452" s="15">
        <v>23</v>
      </c>
      <c r="J452" s="15">
        <f t="shared" si="94"/>
        <v>7</v>
      </c>
      <c r="K452" s="15">
        <f t="shared" si="93"/>
        <v>8</v>
      </c>
      <c r="L452" s="15">
        <v>-1.94</v>
      </c>
      <c r="M452" s="22">
        <v>3.93</v>
      </c>
      <c r="N452" s="15">
        <f t="shared" si="88"/>
        <v>0.49363867684478369</v>
      </c>
      <c r="O452" s="22"/>
      <c r="P452" s="22"/>
      <c r="Q452" s="22"/>
      <c r="R452" s="22"/>
      <c r="S452" s="22"/>
    </row>
    <row r="453" spans="1:19" x14ac:dyDescent="0.15">
      <c r="A453" s="22"/>
      <c r="B453" s="22"/>
      <c r="C453" s="22"/>
      <c r="D453" s="22"/>
      <c r="E453" s="22"/>
      <c r="F453" s="22"/>
      <c r="G453" s="41"/>
      <c r="H453" s="15">
        <v>22</v>
      </c>
      <c r="I453" s="15">
        <v>23</v>
      </c>
      <c r="J453" s="15">
        <f t="shared" si="94"/>
        <v>8</v>
      </c>
      <c r="K453" s="15">
        <f t="shared" si="93"/>
        <v>9</v>
      </c>
      <c r="L453" s="15">
        <v>-3.73</v>
      </c>
      <c r="M453" s="22">
        <v>4.0599999999999996</v>
      </c>
      <c r="N453" s="15">
        <f t="shared" ref="N453:N507" si="95">-L453/M453</f>
        <v>0.91871921182266014</v>
      </c>
      <c r="O453" s="22"/>
      <c r="P453" s="22"/>
      <c r="Q453" s="22"/>
      <c r="R453" s="22"/>
      <c r="S453" s="22"/>
    </row>
    <row r="454" spans="1:19" x14ac:dyDescent="0.15">
      <c r="A454" s="22"/>
      <c r="B454" s="22"/>
      <c r="C454" s="22"/>
      <c r="D454" s="22"/>
      <c r="E454" s="22"/>
      <c r="F454" s="22"/>
      <c r="G454" s="41"/>
      <c r="H454" s="15">
        <v>22</v>
      </c>
      <c r="I454" s="15">
        <v>23</v>
      </c>
      <c r="J454" s="15">
        <f t="shared" si="94"/>
        <v>9</v>
      </c>
      <c r="K454" s="15">
        <f t="shared" si="93"/>
        <v>10</v>
      </c>
      <c r="L454" s="15">
        <v>-2.0499999999999998</v>
      </c>
      <c r="M454" s="22">
        <v>3.72</v>
      </c>
      <c r="N454" s="15">
        <f t="shared" si="95"/>
        <v>0.55107526881720426</v>
      </c>
      <c r="O454" s="22"/>
      <c r="P454" s="22"/>
      <c r="Q454" s="22"/>
      <c r="R454" s="22"/>
      <c r="S454" s="22"/>
    </row>
    <row r="455" spans="1:19" x14ac:dyDescent="0.15">
      <c r="A455" s="22"/>
      <c r="B455" s="22"/>
      <c r="C455" s="22"/>
      <c r="D455" s="22"/>
      <c r="E455" s="22"/>
      <c r="F455" s="22"/>
      <c r="G455" s="41"/>
      <c r="H455" s="15">
        <v>22</v>
      </c>
      <c r="I455" s="15">
        <v>23</v>
      </c>
      <c r="J455" s="15">
        <f t="shared" si="94"/>
        <v>10</v>
      </c>
      <c r="K455" s="15">
        <f t="shared" si="93"/>
        <v>11</v>
      </c>
      <c r="L455" s="15">
        <v>3.68</v>
      </c>
      <c r="M455" s="22">
        <v>3.77</v>
      </c>
      <c r="N455" s="15">
        <f t="shared" si="95"/>
        <v>-0.97612732095490717</v>
      </c>
      <c r="O455" s="22"/>
      <c r="P455" s="22"/>
      <c r="Q455" s="22"/>
      <c r="R455" s="22"/>
      <c r="S455" s="22"/>
    </row>
    <row r="456" spans="1:19" x14ac:dyDescent="0.15">
      <c r="A456" s="22"/>
      <c r="B456" s="22"/>
      <c r="C456" s="22"/>
      <c r="D456" s="22"/>
      <c r="E456" s="22"/>
      <c r="F456" s="22"/>
      <c r="G456" s="41"/>
      <c r="H456" s="15">
        <v>22</v>
      </c>
      <c r="I456" s="15">
        <v>23</v>
      </c>
      <c r="J456" s="15">
        <f t="shared" si="94"/>
        <v>11</v>
      </c>
      <c r="K456" s="15">
        <f t="shared" si="93"/>
        <v>12</v>
      </c>
      <c r="L456" s="15">
        <v>-4.93</v>
      </c>
      <c r="M456" s="22">
        <v>3.76</v>
      </c>
      <c r="N456" s="15">
        <f t="shared" si="95"/>
        <v>1.3111702127659575</v>
      </c>
      <c r="O456" s="22"/>
      <c r="P456" s="22"/>
      <c r="Q456" s="22"/>
      <c r="R456" s="22"/>
      <c r="S456" s="22"/>
    </row>
    <row r="457" spans="1:19" x14ac:dyDescent="0.15">
      <c r="A457" s="22"/>
      <c r="B457" s="22"/>
      <c r="C457" s="22"/>
      <c r="D457" s="22"/>
      <c r="E457" s="22"/>
      <c r="F457" s="22"/>
      <c r="G457" s="41"/>
      <c r="H457" s="15">
        <v>22</v>
      </c>
      <c r="I457" s="15">
        <v>23</v>
      </c>
      <c r="J457" s="15">
        <f t="shared" si="94"/>
        <v>12</v>
      </c>
      <c r="K457" s="15">
        <f t="shared" si="93"/>
        <v>13</v>
      </c>
      <c r="L457" s="15">
        <v>-3.25</v>
      </c>
      <c r="M457" s="22">
        <v>3.88</v>
      </c>
      <c r="N457" s="15">
        <f t="shared" si="95"/>
        <v>0.83762886597938147</v>
      </c>
      <c r="O457" s="22"/>
      <c r="P457" s="22"/>
      <c r="Q457" s="22"/>
      <c r="R457" s="22"/>
      <c r="S457" s="22"/>
    </row>
    <row r="458" spans="1:19" x14ac:dyDescent="0.15">
      <c r="A458" s="22"/>
      <c r="B458" s="22"/>
      <c r="C458" s="22"/>
      <c r="D458" s="22"/>
      <c r="E458" s="22"/>
      <c r="F458" s="22"/>
      <c r="G458" s="41"/>
      <c r="H458" s="15">
        <v>22</v>
      </c>
      <c r="I458" s="15">
        <v>23</v>
      </c>
      <c r="J458" s="15">
        <f t="shared" si="94"/>
        <v>13</v>
      </c>
      <c r="K458" s="15">
        <f t="shared" si="93"/>
        <v>14</v>
      </c>
      <c r="L458" s="15">
        <v>-4.4000000000000004</v>
      </c>
      <c r="M458" s="22">
        <v>4.1500000000000004</v>
      </c>
      <c r="N458" s="15">
        <f t="shared" si="95"/>
        <v>1.0602409638554218</v>
      </c>
      <c r="O458" s="22"/>
      <c r="P458" s="22"/>
      <c r="Q458" s="22"/>
      <c r="R458" s="22"/>
      <c r="S458" s="22"/>
    </row>
    <row r="459" spans="1:19" x14ac:dyDescent="0.15">
      <c r="A459" s="22"/>
      <c r="B459" s="22"/>
      <c r="C459" s="22"/>
      <c r="D459" s="22"/>
      <c r="E459" s="22"/>
      <c r="F459" s="22"/>
      <c r="G459" s="41"/>
      <c r="H459" s="15">
        <v>22</v>
      </c>
      <c r="I459" s="15">
        <v>23</v>
      </c>
      <c r="J459" s="15">
        <f t="shared" si="94"/>
        <v>14</v>
      </c>
      <c r="K459" s="15">
        <f t="shared" si="93"/>
        <v>15</v>
      </c>
      <c r="L459" s="15">
        <v>-6.5</v>
      </c>
      <c r="M459" s="22">
        <v>4.22</v>
      </c>
      <c r="N459" s="15">
        <f t="shared" si="95"/>
        <v>1.5402843601895735</v>
      </c>
      <c r="O459" s="22"/>
      <c r="P459" s="22"/>
      <c r="Q459" s="22"/>
      <c r="R459" s="22"/>
      <c r="S459" s="22"/>
    </row>
    <row r="460" spans="1:19" x14ac:dyDescent="0.15">
      <c r="A460" s="22"/>
      <c r="B460" s="22"/>
      <c r="C460" s="22"/>
      <c r="D460" s="22"/>
      <c r="E460" s="22"/>
      <c r="F460" s="22"/>
      <c r="G460" s="41"/>
      <c r="H460" s="15">
        <v>22</v>
      </c>
      <c r="I460" s="15">
        <v>23</v>
      </c>
      <c r="J460" s="15">
        <f t="shared" si="94"/>
        <v>15</v>
      </c>
      <c r="K460" s="15">
        <f t="shared" si="93"/>
        <v>16</v>
      </c>
      <c r="L460" s="15">
        <v>-9.19</v>
      </c>
      <c r="M460" s="22">
        <v>4.63</v>
      </c>
      <c r="N460" s="15">
        <f t="shared" si="95"/>
        <v>1.9848812095032398</v>
      </c>
      <c r="O460" s="22"/>
      <c r="P460" s="22"/>
      <c r="Q460" s="22"/>
      <c r="R460" s="22"/>
      <c r="S460" s="22"/>
    </row>
    <row r="461" spans="1:19" x14ac:dyDescent="0.15">
      <c r="A461" s="22"/>
      <c r="B461" s="22"/>
      <c r="C461" s="22"/>
      <c r="D461" s="22"/>
      <c r="E461" s="22"/>
      <c r="F461" s="22"/>
      <c r="G461" s="41"/>
      <c r="H461" s="15">
        <v>22</v>
      </c>
      <c r="I461" s="15">
        <v>23</v>
      </c>
      <c r="J461" s="15">
        <f t="shared" si="94"/>
        <v>16</v>
      </c>
      <c r="K461" s="15">
        <f t="shared" si="93"/>
        <v>17</v>
      </c>
      <c r="L461" s="15">
        <v>-8.58</v>
      </c>
      <c r="M461" s="22">
        <v>4.83</v>
      </c>
      <c r="N461" s="15">
        <f t="shared" si="95"/>
        <v>1.7763975155279503</v>
      </c>
      <c r="O461" s="22"/>
      <c r="P461" s="22"/>
      <c r="Q461" s="22"/>
      <c r="R461" s="22"/>
      <c r="S461" s="22"/>
    </row>
    <row r="462" spans="1:19" x14ac:dyDescent="0.15">
      <c r="A462" s="22"/>
      <c r="B462" s="22"/>
      <c r="C462" s="22"/>
      <c r="D462" s="22"/>
      <c r="E462" s="22"/>
      <c r="F462" s="22"/>
      <c r="G462" s="41"/>
      <c r="H462" s="15">
        <v>22</v>
      </c>
      <c r="I462" s="15">
        <v>23</v>
      </c>
      <c r="J462" s="15">
        <f t="shared" si="94"/>
        <v>17</v>
      </c>
      <c r="K462" s="15">
        <f t="shared" si="93"/>
        <v>18</v>
      </c>
      <c r="L462" s="15">
        <v>-19.72</v>
      </c>
      <c r="M462" s="22">
        <v>5.16</v>
      </c>
      <c r="N462" s="15">
        <f t="shared" si="95"/>
        <v>3.8217054263565888</v>
      </c>
      <c r="O462" s="22"/>
      <c r="P462" s="22"/>
      <c r="Q462" s="22"/>
      <c r="R462" s="22"/>
      <c r="S462" s="22"/>
    </row>
    <row r="463" spans="1:19" x14ac:dyDescent="0.15">
      <c r="A463" s="22"/>
      <c r="B463" s="22"/>
      <c r="C463" s="22"/>
      <c r="D463" s="22"/>
      <c r="E463" s="22"/>
      <c r="F463" s="22"/>
      <c r="G463" s="41"/>
      <c r="H463" s="15">
        <v>22</v>
      </c>
      <c r="I463" s="15">
        <v>23</v>
      </c>
      <c r="J463" s="15">
        <f t="shared" si="94"/>
        <v>18</v>
      </c>
      <c r="K463" s="15">
        <f t="shared" si="93"/>
        <v>19</v>
      </c>
      <c r="L463" s="15">
        <v>-39.4</v>
      </c>
      <c r="M463" s="22">
        <v>5.29</v>
      </c>
      <c r="N463" s="15">
        <f t="shared" si="95"/>
        <v>7.448015122873346</v>
      </c>
      <c r="O463" s="22"/>
      <c r="P463" s="22"/>
      <c r="Q463" s="22"/>
      <c r="R463" s="22"/>
      <c r="S463" s="22"/>
    </row>
    <row r="464" spans="1:19" x14ac:dyDescent="0.15">
      <c r="A464" s="22"/>
      <c r="B464" s="22"/>
      <c r="C464" s="22"/>
      <c r="D464" s="22"/>
      <c r="E464" s="22"/>
      <c r="F464" s="22"/>
      <c r="G464" s="41"/>
      <c r="H464" s="15">
        <v>22</v>
      </c>
      <c r="I464" s="15">
        <v>23</v>
      </c>
      <c r="J464" s="15">
        <f t="shared" si="94"/>
        <v>19</v>
      </c>
      <c r="K464" s="15">
        <f t="shared" si="93"/>
        <v>20</v>
      </c>
      <c r="L464" s="15">
        <v>-78.48</v>
      </c>
      <c r="M464" s="22">
        <v>5.04</v>
      </c>
      <c r="N464" s="15">
        <f t="shared" si="95"/>
        <v>15.571428571428573</v>
      </c>
      <c r="O464" s="22"/>
      <c r="P464" s="22"/>
      <c r="Q464" s="22"/>
      <c r="R464" s="22"/>
      <c r="S464" s="22"/>
    </row>
    <row r="465" spans="1:19" x14ac:dyDescent="0.15">
      <c r="A465" s="22"/>
      <c r="B465" s="22"/>
      <c r="C465" s="22"/>
      <c r="D465" s="22"/>
      <c r="E465" s="22"/>
      <c r="F465" s="22"/>
      <c r="G465" s="41"/>
      <c r="H465" s="15">
        <v>22</v>
      </c>
      <c r="I465" s="15">
        <v>23</v>
      </c>
      <c r="J465" s="15">
        <f t="shared" si="94"/>
        <v>20</v>
      </c>
      <c r="K465" s="15">
        <f t="shared" si="93"/>
        <v>21</v>
      </c>
      <c r="L465" s="15">
        <v>-304.01</v>
      </c>
      <c r="M465" s="22">
        <v>5.25</v>
      </c>
      <c r="N465" s="15">
        <f t="shared" si="95"/>
        <v>57.906666666666666</v>
      </c>
      <c r="O465" s="22"/>
      <c r="P465" s="22"/>
      <c r="Q465" s="22"/>
      <c r="R465" s="22"/>
      <c r="S465" s="22"/>
    </row>
    <row r="466" spans="1:19" x14ac:dyDescent="0.15">
      <c r="A466" s="22"/>
      <c r="B466" s="22"/>
      <c r="C466" s="22"/>
      <c r="D466" s="22"/>
      <c r="E466" s="22"/>
      <c r="F466" s="22"/>
      <c r="G466" s="41"/>
      <c r="H466" s="15">
        <v>23</v>
      </c>
      <c r="I466" s="15">
        <v>24</v>
      </c>
      <c r="J466" s="15">
        <v>1</v>
      </c>
      <c r="K466" s="15">
        <v>2</v>
      </c>
      <c r="L466" s="15">
        <v>-270.06</v>
      </c>
      <c r="M466" s="22">
        <v>4.22</v>
      </c>
      <c r="N466" s="15">
        <f t="shared" si="95"/>
        <v>63.995260663507111</v>
      </c>
      <c r="O466" s="22"/>
      <c r="P466" s="22"/>
      <c r="Q466" s="22"/>
      <c r="R466" s="22"/>
      <c r="S466" s="22"/>
    </row>
    <row r="467" spans="1:19" x14ac:dyDescent="0.15">
      <c r="A467" s="22"/>
      <c r="B467" s="22"/>
      <c r="C467" s="22"/>
      <c r="D467" s="22"/>
      <c r="E467" s="22"/>
      <c r="F467" s="22"/>
      <c r="G467" s="41"/>
      <c r="H467" s="15">
        <v>23</v>
      </c>
      <c r="I467" s="15">
        <v>24</v>
      </c>
      <c r="J467" s="15">
        <f t="shared" ref="J467:K486" si="96">J466+1</f>
        <v>2</v>
      </c>
      <c r="K467" s="15">
        <f t="shared" si="96"/>
        <v>3</v>
      </c>
      <c r="L467" s="15">
        <v>-81.16</v>
      </c>
      <c r="M467" s="22">
        <v>4.22</v>
      </c>
      <c r="N467" s="15">
        <f t="shared" si="95"/>
        <v>19.232227488151658</v>
      </c>
      <c r="O467" s="22"/>
      <c r="P467" s="22"/>
      <c r="Q467" s="22"/>
      <c r="R467" s="22"/>
      <c r="S467" s="22"/>
    </row>
    <row r="468" spans="1:19" x14ac:dyDescent="0.15">
      <c r="A468" s="22"/>
      <c r="B468" s="22"/>
      <c r="C468" s="22"/>
      <c r="D468" s="22"/>
      <c r="E468" s="22"/>
      <c r="F468" s="22"/>
      <c r="G468" s="41"/>
      <c r="H468" s="15">
        <v>23</v>
      </c>
      <c r="I468" s="15">
        <v>24</v>
      </c>
      <c r="J468" s="15">
        <f t="shared" si="96"/>
        <v>3</v>
      </c>
      <c r="K468" s="15">
        <f t="shared" si="96"/>
        <v>4</v>
      </c>
      <c r="L468" s="15">
        <v>-31.4</v>
      </c>
      <c r="M468" s="22">
        <v>4.6399999999999997</v>
      </c>
      <c r="N468" s="15">
        <f t="shared" si="95"/>
        <v>6.7672413793103452</v>
      </c>
      <c r="O468" s="22"/>
      <c r="P468" s="22"/>
      <c r="Q468" s="22"/>
      <c r="R468" s="22"/>
      <c r="S468" s="22"/>
    </row>
    <row r="469" spans="1:19" x14ac:dyDescent="0.15">
      <c r="A469" s="22"/>
      <c r="B469" s="22"/>
      <c r="C469" s="22"/>
      <c r="D469" s="22"/>
      <c r="E469" s="22"/>
      <c r="F469" s="22"/>
      <c r="G469" s="41"/>
      <c r="H469" s="15">
        <v>23</v>
      </c>
      <c r="I469" s="15">
        <v>24</v>
      </c>
      <c r="J469" s="15">
        <f t="shared" si="96"/>
        <v>4</v>
      </c>
      <c r="K469" s="15">
        <f t="shared" si="96"/>
        <v>5</v>
      </c>
      <c r="L469" s="15">
        <v>-17.28</v>
      </c>
      <c r="M469" s="22">
        <v>3.97</v>
      </c>
      <c r="N469" s="15">
        <f t="shared" si="95"/>
        <v>4.3526448362720407</v>
      </c>
      <c r="O469" s="22"/>
      <c r="P469" s="22"/>
      <c r="Q469" s="22"/>
      <c r="R469" s="22"/>
      <c r="S469" s="22"/>
    </row>
    <row r="470" spans="1:19" x14ac:dyDescent="0.15">
      <c r="A470" s="22"/>
      <c r="B470" s="22"/>
      <c r="C470" s="22"/>
      <c r="D470" s="22"/>
      <c r="E470" s="22"/>
      <c r="F470" s="22"/>
      <c r="G470" s="41"/>
      <c r="H470" s="15">
        <v>23</v>
      </c>
      <c r="I470" s="15">
        <v>24</v>
      </c>
      <c r="J470" s="15">
        <f t="shared" si="96"/>
        <v>5</v>
      </c>
      <c r="K470" s="15">
        <f t="shared" si="96"/>
        <v>6</v>
      </c>
      <c r="L470" s="15">
        <v>-12.38</v>
      </c>
      <c r="M470" s="22">
        <v>3.53</v>
      </c>
      <c r="N470" s="15">
        <f t="shared" si="95"/>
        <v>3.5070821529745047</v>
      </c>
      <c r="O470" s="22"/>
      <c r="P470" s="22"/>
      <c r="Q470" s="22"/>
      <c r="R470" s="22"/>
      <c r="S470" s="22"/>
    </row>
    <row r="471" spans="1:19" x14ac:dyDescent="0.15">
      <c r="A471" s="22"/>
      <c r="B471" s="22"/>
      <c r="C471" s="22"/>
      <c r="D471" s="22"/>
      <c r="E471" s="22"/>
      <c r="F471" s="22"/>
      <c r="G471" s="41"/>
      <c r="H471" s="15">
        <v>23</v>
      </c>
      <c r="I471" s="15">
        <v>24</v>
      </c>
      <c r="J471" s="15">
        <f t="shared" si="96"/>
        <v>6</v>
      </c>
      <c r="K471" s="15">
        <f t="shared" si="96"/>
        <v>7</v>
      </c>
      <c r="L471" s="15">
        <v>-19.899999999999999</v>
      </c>
      <c r="M471" s="22">
        <v>4.45</v>
      </c>
      <c r="N471" s="15">
        <f t="shared" si="95"/>
        <v>4.4719101123595504</v>
      </c>
      <c r="O471" s="22"/>
      <c r="P471" s="22"/>
      <c r="Q471" s="22"/>
      <c r="R471" s="22"/>
      <c r="S471" s="22"/>
    </row>
    <row r="472" spans="1:19" x14ac:dyDescent="0.15">
      <c r="A472" s="22"/>
      <c r="B472" s="22"/>
      <c r="C472" s="22"/>
      <c r="D472" s="22"/>
      <c r="E472" s="22"/>
      <c r="F472" s="22"/>
      <c r="G472" s="41"/>
      <c r="H472" s="15">
        <v>23</v>
      </c>
      <c r="I472" s="15">
        <v>24</v>
      </c>
      <c r="J472" s="15">
        <f t="shared" si="96"/>
        <v>7</v>
      </c>
      <c r="K472" s="15">
        <f t="shared" si="96"/>
        <v>8</v>
      </c>
      <c r="L472" s="15">
        <v>-12.37</v>
      </c>
      <c r="M472" s="22">
        <v>3.91</v>
      </c>
      <c r="N472" s="15">
        <f t="shared" si="95"/>
        <v>3.1636828644501276</v>
      </c>
      <c r="O472" s="22"/>
      <c r="P472" s="22"/>
      <c r="Q472" s="22"/>
      <c r="R472" s="22"/>
      <c r="S472" s="22"/>
    </row>
    <row r="473" spans="1:19" x14ac:dyDescent="0.15">
      <c r="A473" s="22"/>
      <c r="B473" s="22"/>
      <c r="C473" s="22"/>
      <c r="D473" s="22"/>
      <c r="E473" s="22"/>
      <c r="F473" s="22"/>
      <c r="G473" s="41"/>
      <c r="H473" s="15">
        <v>23</v>
      </c>
      <c r="I473" s="15">
        <v>24</v>
      </c>
      <c r="J473" s="15">
        <f t="shared" si="96"/>
        <v>8</v>
      </c>
      <c r="K473" s="15">
        <f t="shared" si="96"/>
        <v>9</v>
      </c>
      <c r="L473" s="15">
        <v>-7.99</v>
      </c>
      <c r="M473" s="22">
        <v>4.32</v>
      </c>
      <c r="N473" s="15">
        <f t="shared" si="95"/>
        <v>1.849537037037037</v>
      </c>
      <c r="O473" s="22"/>
      <c r="P473" s="22"/>
      <c r="Q473" s="22"/>
      <c r="R473" s="22"/>
      <c r="S473" s="22"/>
    </row>
    <row r="474" spans="1:19" x14ac:dyDescent="0.15">
      <c r="A474" s="22"/>
      <c r="B474" s="22"/>
      <c r="C474" s="22"/>
      <c r="D474" s="22"/>
      <c r="E474" s="22"/>
      <c r="F474" s="22"/>
      <c r="G474" s="41"/>
      <c r="H474" s="15">
        <v>23</v>
      </c>
      <c r="I474" s="15">
        <v>24</v>
      </c>
      <c r="J474" s="15">
        <f t="shared" si="96"/>
        <v>9</v>
      </c>
      <c r="K474" s="15">
        <f t="shared" si="96"/>
        <v>10</v>
      </c>
      <c r="L474" s="15">
        <v>-8.16</v>
      </c>
      <c r="M474" s="22">
        <v>4.41</v>
      </c>
      <c r="N474" s="15">
        <f t="shared" si="95"/>
        <v>1.8503401360544218</v>
      </c>
      <c r="O474" s="22"/>
      <c r="P474" s="22"/>
      <c r="Q474" s="22"/>
      <c r="R474" s="22"/>
      <c r="S474" s="22"/>
    </row>
    <row r="475" spans="1:19" x14ac:dyDescent="0.15">
      <c r="A475" s="22"/>
      <c r="B475" s="22"/>
      <c r="C475" s="22"/>
      <c r="D475" s="22"/>
      <c r="E475" s="22"/>
      <c r="F475" s="22"/>
      <c r="G475" s="41"/>
      <c r="H475" s="15">
        <v>23</v>
      </c>
      <c r="I475" s="15">
        <v>24</v>
      </c>
      <c r="J475" s="15">
        <f t="shared" si="96"/>
        <v>10</v>
      </c>
      <c r="K475" s="15">
        <f t="shared" si="96"/>
        <v>11</v>
      </c>
      <c r="L475" s="15">
        <v>-20.99</v>
      </c>
      <c r="M475" s="22">
        <v>4.7</v>
      </c>
      <c r="N475" s="15">
        <f t="shared" si="95"/>
        <v>4.4659574468085097</v>
      </c>
      <c r="O475" s="22"/>
      <c r="P475" s="22"/>
      <c r="Q475" s="22"/>
      <c r="R475" s="22"/>
      <c r="S475" s="22"/>
    </row>
    <row r="476" spans="1:19" x14ac:dyDescent="0.15">
      <c r="A476" s="22"/>
      <c r="B476" s="22"/>
      <c r="C476" s="22"/>
      <c r="D476" s="22"/>
      <c r="E476" s="22"/>
      <c r="F476" s="22"/>
      <c r="G476" s="41"/>
      <c r="H476" s="15">
        <v>23</v>
      </c>
      <c r="I476" s="15">
        <v>24</v>
      </c>
      <c r="J476" s="15">
        <f t="shared" si="96"/>
        <v>11</v>
      </c>
      <c r="K476" s="15">
        <f t="shared" si="96"/>
        <v>12</v>
      </c>
      <c r="L476" s="15">
        <v>-5.44</v>
      </c>
      <c r="M476" s="22">
        <v>4.9400000000000004</v>
      </c>
      <c r="N476" s="15">
        <f t="shared" si="95"/>
        <v>1.1012145748987854</v>
      </c>
      <c r="O476" s="22"/>
      <c r="P476" s="22"/>
      <c r="Q476" s="22"/>
      <c r="R476" s="22"/>
      <c r="S476" s="22"/>
    </row>
    <row r="477" spans="1:19" x14ac:dyDescent="0.15">
      <c r="A477" s="22"/>
      <c r="B477" s="22"/>
      <c r="C477" s="22"/>
      <c r="D477" s="22"/>
      <c r="E477" s="22"/>
      <c r="F477" s="22"/>
      <c r="G477" s="41"/>
      <c r="H477" s="15">
        <v>23</v>
      </c>
      <c r="I477" s="15">
        <v>24</v>
      </c>
      <c r="J477" s="15">
        <f t="shared" si="96"/>
        <v>12</v>
      </c>
      <c r="K477" s="15">
        <f t="shared" si="96"/>
        <v>13</v>
      </c>
      <c r="L477" s="15">
        <v>-11.31</v>
      </c>
      <c r="M477" s="22">
        <v>5.51</v>
      </c>
      <c r="N477" s="15">
        <f t="shared" si="95"/>
        <v>2.0526315789473686</v>
      </c>
      <c r="O477" s="22"/>
      <c r="P477" s="22"/>
      <c r="Q477" s="22"/>
      <c r="R477" s="22"/>
      <c r="S477" s="22"/>
    </row>
    <row r="478" spans="1:19" x14ac:dyDescent="0.15">
      <c r="A478" s="22"/>
      <c r="B478" s="22"/>
      <c r="C478" s="22"/>
      <c r="D478" s="22"/>
      <c r="E478" s="22"/>
      <c r="F478" s="22"/>
      <c r="G478" s="41"/>
      <c r="H478" s="15">
        <v>23</v>
      </c>
      <c r="I478" s="15">
        <v>24</v>
      </c>
      <c r="J478" s="15">
        <f t="shared" si="96"/>
        <v>13</v>
      </c>
      <c r="K478" s="15">
        <f t="shared" si="96"/>
        <v>14</v>
      </c>
      <c r="L478" s="15">
        <v>-10.7</v>
      </c>
      <c r="M478" s="22">
        <v>6.69</v>
      </c>
      <c r="N478" s="15">
        <f t="shared" si="95"/>
        <v>1.5994020926756352</v>
      </c>
      <c r="O478" s="22"/>
      <c r="P478" s="22"/>
      <c r="Q478" s="22"/>
      <c r="R478" s="22"/>
      <c r="S478" s="22"/>
    </row>
    <row r="479" spans="1:19" x14ac:dyDescent="0.15">
      <c r="A479" s="22"/>
      <c r="B479" s="22"/>
      <c r="C479" s="22"/>
      <c r="D479" s="22"/>
      <c r="E479" s="22"/>
      <c r="F479" s="22"/>
      <c r="G479" s="41"/>
      <c r="H479" s="15">
        <v>23</v>
      </c>
      <c r="I479" s="15">
        <v>24</v>
      </c>
      <c r="J479" s="15">
        <f t="shared" si="96"/>
        <v>14</v>
      </c>
      <c r="K479" s="15">
        <f t="shared" si="96"/>
        <v>15</v>
      </c>
      <c r="L479" s="15">
        <v>-9.1</v>
      </c>
      <c r="M479" s="22">
        <v>6.51</v>
      </c>
      <c r="N479" s="15">
        <f t="shared" si="95"/>
        <v>1.3978494623655915</v>
      </c>
      <c r="O479" s="22"/>
      <c r="P479" s="22"/>
      <c r="Q479" s="22"/>
      <c r="R479" s="22"/>
      <c r="S479" s="22"/>
    </row>
    <row r="480" spans="1:19" x14ac:dyDescent="0.15">
      <c r="A480" s="22"/>
      <c r="B480" s="22"/>
      <c r="C480" s="22"/>
      <c r="D480" s="22"/>
      <c r="E480" s="22"/>
      <c r="F480" s="22"/>
      <c r="G480" s="41"/>
      <c r="H480" s="15">
        <v>23</v>
      </c>
      <c r="I480" s="15">
        <v>24</v>
      </c>
      <c r="J480" s="15">
        <f t="shared" si="96"/>
        <v>15</v>
      </c>
      <c r="K480" s="15">
        <f t="shared" si="96"/>
        <v>16</v>
      </c>
      <c r="L480" s="15">
        <v>-9.48</v>
      </c>
      <c r="M480" s="22">
        <v>4.97</v>
      </c>
      <c r="N480" s="15">
        <f t="shared" si="95"/>
        <v>1.9074446680080486</v>
      </c>
      <c r="O480" s="22"/>
      <c r="P480" s="22"/>
      <c r="Q480" s="22"/>
      <c r="R480" s="22"/>
      <c r="S480" s="22"/>
    </row>
    <row r="481" spans="1:19" x14ac:dyDescent="0.15">
      <c r="A481" s="22"/>
      <c r="B481" s="22"/>
      <c r="C481" s="22"/>
      <c r="D481" s="22"/>
      <c r="E481" s="22"/>
      <c r="F481" s="22"/>
      <c r="G481" s="41"/>
      <c r="H481" s="15">
        <v>23</v>
      </c>
      <c r="I481" s="15">
        <v>24</v>
      </c>
      <c r="J481" s="15">
        <f t="shared" si="96"/>
        <v>16</v>
      </c>
      <c r="K481" s="15">
        <f t="shared" si="96"/>
        <v>17</v>
      </c>
      <c r="L481" s="15">
        <v>-16.71</v>
      </c>
      <c r="M481" s="22">
        <v>5.92</v>
      </c>
      <c r="N481" s="15">
        <f t="shared" si="95"/>
        <v>2.8226351351351355</v>
      </c>
      <c r="O481" s="22"/>
      <c r="P481" s="22"/>
      <c r="Q481" s="22"/>
      <c r="R481" s="22"/>
      <c r="S481" s="22"/>
    </row>
    <row r="482" spans="1:19" x14ac:dyDescent="0.15">
      <c r="A482" s="22"/>
      <c r="B482" s="22"/>
      <c r="C482" s="22"/>
      <c r="D482" s="22"/>
      <c r="E482" s="22"/>
      <c r="F482" s="22"/>
      <c r="G482" s="41"/>
      <c r="H482" s="15">
        <v>23</v>
      </c>
      <c r="I482" s="15">
        <v>24</v>
      </c>
      <c r="J482" s="15">
        <f t="shared" si="96"/>
        <v>17</v>
      </c>
      <c r="K482" s="15">
        <f t="shared" si="96"/>
        <v>18</v>
      </c>
      <c r="L482" s="15">
        <v>-14.34</v>
      </c>
      <c r="M482" s="22">
        <v>5.48</v>
      </c>
      <c r="N482" s="15">
        <f t="shared" si="95"/>
        <v>2.6167883211678831</v>
      </c>
      <c r="O482" s="22"/>
      <c r="P482" s="22"/>
      <c r="Q482" s="22"/>
      <c r="R482" s="22"/>
      <c r="S482" s="22"/>
    </row>
    <row r="483" spans="1:19" x14ac:dyDescent="0.15">
      <c r="A483" s="22"/>
      <c r="B483" s="22"/>
      <c r="C483" s="22"/>
      <c r="D483" s="22"/>
      <c r="E483" s="22"/>
      <c r="F483" s="22"/>
      <c r="G483" s="41"/>
      <c r="H483" s="15">
        <v>23</v>
      </c>
      <c r="I483" s="15">
        <v>24</v>
      </c>
      <c r="J483" s="15">
        <f t="shared" si="96"/>
        <v>18</v>
      </c>
      <c r="K483" s="15">
        <f t="shared" si="96"/>
        <v>19</v>
      </c>
      <c r="L483" s="15">
        <v>-37.229999999999997</v>
      </c>
      <c r="M483" s="22">
        <v>6.38</v>
      </c>
      <c r="N483" s="15">
        <f t="shared" si="95"/>
        <v>5.8354231974921627</v>
      </c>
      <c r="O483" s="22"/>
      <c r="P483" s="22"/>
      <c r="Q483" s="22"/>
      <c r="R483" s="22"/>
      <c r="S483" s="22"/>
    </row>
    <row r="484" spans="1:19" x14ac:dyDescent="0.15">
      <c r="A484" s="22"/>
      <c r="B484" s="22"/>
      <c r="C484" s="22"/>
      <c r="D484" s="22"/>
      <c r="E484" s="22"/>
      <c r="F484" s="22"/>
      <c r="G484" s="41"/>
      <c r="H484" s="15">
        <v>23</v>
      </c>
      <c r="I484" s="15">
        <v>24</v>
      </c>
      <c r="J484" s="15">
        <f t="shared" si="96"/>
        <v>19</v>
      </c>
      <c r="K484" s="15">
        <f t="shared" si="96"/>
        <v>20</v>
      </c>
      <c r="L484" s="15">
        <v>-45.49</v>
      </c>
      <c r="M484" s="22">
        <v>6.82</v>
      </c>
      <c r="N484" s="15">
        <f t="shared" si="95"/>
        <v>6.6700879765395893</v>
      </c>
      <c r="O484" s="22"/>
      <c r="P484" s="22"/>
      <c r="Q484" s="22"/>
      <c r="R484" s="22"/>
      <c r="S484" s="22"/>
    </row>
    <row r="485" spans="1:19" x14ac:dyDescent="0.15">
      <c r="A485" s="22"/>
      <c r="B485" s="22"/>
      <c r="C485" s="22"/>
      <c r="D485" s="22"/>
      <c r="E485" s="22"/>
      <c r="F485" s="22"/>
      <c r="G485" s="41"/>
      <c r="H485" s="15">
        <v>23</v>
      </c>
      <c r="I485" s="15">
        <v>24</v>
      </c>
      <c r="J485" s="15">
        <f t="shared" si="96"/>
        <v>20</v>
      </c>
      <c r="K485" s="15">
        <f t="shared" si="96"/>
        <v>21</v>
      </c>
      <c r="L485" s="15">
        <v>-99.52</v>
      </c>
      <c r="M485" s="22">
        <v>6.33</v>
      </c>
      <c r="N485" s="15">
        <f t="shared" si="95"/>
        <v>15.721958925750394</v>
      </c>
      <c r="O485" s="22"/>
      <c r="P485" s="22"/>
      <c r="Q485" s="22"/>
      <c r="R485" s="22"/>
      <c r="S485" s="22"/>
    </row>
    <row r="486" spans="1:19" x14ac:dyDescent="0.15">
      <c r="A486" s="22"/>
      <c r="B486" s="22"/>
      <c r="C486" s="22"/>
      <c r="D486" s="22"/>
      <c r="E486" s="22"/>
      <c r="F486" s="22"/>
      <c r="G486" s="41"/>
      <c r="H486" s="15">
        <v>23</v>
      </c>
      <c r="I486" s="15">
        <v>24</v>
      </c>
      <c r="J486" s="15">
        <f t="shared" si="96"/>
        <v>21</v>
      </c>
      <c r="K486" s="15">
        <f t="shared" si="96"/>
        <v>22</v>
      </c>
      <c r="L486" s="15">
        <v>-469.13</v>
      </c>
      <c r="M486" s="22">
        <v>7.05</v>
      </c>
      <c r="N486" s="15">
        <f t="shared" si="95"/>
        <v>66.543262411347513</v>
      </c>
      <c r="O486" s="22"/>
      <c r="P486" s="22"/>
      <c r="Q486" s="22"/>
      <c r="R486" s="22"/>
      <c r="S486" s="22"/>
    </row>
    <row r="487" spans="1:19" x14ac:dyDescent="0.15">
      <c r="A487" s="22"/>
      <c r="B487" s="22"/>
      <c r="C487" s="22"/>
      <c r="D487" s="22"/>
      <c r="E487" s="22"/>
      <c r="F487" s="22"/>
      <c r="G487" s="41"/>
      <c r="H487" s="15">
        <v>24</v>
      </c>
      <c r="I487" s="15">
        <v>1</v>
      </c>
      <c r="J487" s="15">
        <f>I487+1</f>
        <v>2</v>
      </c>
      <c r="K487" s="15">
        <f>J487+1</f>
        <v>3</v>
      </c>
      <c r="L487" s="15">
        <v>-517.48</v>
      </c>
      <c r="M487" s="22">
        <v>9.3699999999999992</v>
      </c>
      <c r="N487" s="15">
        <f t="shared" si="95"/>
        <v>55.2273212379936</v>
      </c>
      <c r="O487" s="22"/>
      <c r="P487" s="22"/>
      <c r="Q487" s="22"/>
      <c r="R487" s="22"/>
      <c r="S487" s="22"/>
    </row>
    <row r="488" spans="1:19" x14ac:dyDescent="0.15">
      <c r="A488" s="22"/>
      <c r="B488" s="22"/>
      <c r="C488" s="22"/>
      <c r="D488" s="22"/>
      <c r="E488" s="22"/>
      <c r="F488" s="22"/>
      <c r="G488" s="41"/>
      <c r="H488" s="15">
        <v>24</v>
      </c>
      <c r="I488" s="15">
        <v>1</v>
      </c>
      <c r="J488" s="15">
        <f t="shared" ref="J488:K507" si="97">J487+1</f>
        <v>3</v>
      </c>
      <c r="K488" s="15">
        <f t="shared" si="97"/>
        <v>4</v>
      </c>
      <c r="L488" s="15">
        <v>-154.18</v>
      </c>
      <c r="M488" s="22">
        <v>9.65</v>
      </c>
      <c r="N488" s="15">
        <f t="shared" si="95"/>
        <v>15.97720207253886</v>
      </c>
      <c r="O488" s="22"/>
      <c r="P488" s="22"/>
      <c r="Q488" s="22"/>
      <c r="R488" s="22"/>
      <c r="S488" s="22"/>
    </row>
    <row r="489" spans="1:19" x14ac:dyDescent="0.15">
      <c r="A489" s="22"/>
      <c r="B489" s="22"/>
      <c r="C489" s="22"/>
      <c r="D489" s="22"/>
      <c r="E489" s="22"/>
      <c r="F489" s="22"/>
      <c r="G489" s="41"/>
      <c r="H489" s="15">
        <v>24</v>
      </c>
      <c r="I489" s="15">
        <v>1</v>
      </c>
      <c r="J489" s="15">
        <f t="shared" si="97"/>
        <v>4</v>
      </c>
      <c r="K489" s="15">
        <f t="shared" si="97"/>
        <v>5</v>
      </c>
      <c r="L489" s="15">
        <v>-68</v>
      </c>
      <c r="M489" s="22">
        <v>9.6300000000000008</v>
      </c>
      <c r="N489" s="15">
        <f t="shared" si="95"/>
        <v>7.0612668743509861</v>
      </c>
      <c r="O489" s="22"/>
      <c r="P489" s="22"/>
      <c r="Q489" s="22"/>
      <c r="R489" s="22"/>
      <c r="S489" s="22"/>
    </row>
    <row r="490" spans="1:19" x14ac:dyDescent="0.15">
      <c r="A490" s="22"/>
      <c r="B490" s="22"/>
      <c r="C490" s="22"/>
      <c r="D490" s="22"/>
      <c r="E490" s="22"/>
      <c r="F490" s="22"/>
      <c r="G490" s="41"/>
      <c r="H490" s="15">
        <v>24</v>
      </c>
      <c r="I490" s="15">
        <v>1</v>
      </c>
      <c r="J490" s="15">
        <f t="shared" si="97"/>
        <v>5</v>
      </c>
      <c r="K490" s="15">
        <f t="shared" si="97"/>
        <v>6</v>
      </c>
      <c r="L490" s="15">
        <v>-35.270000000000003</v>
      </c>
      <c r="M490" s="22">
        <v>9.3699999999999992</v>
      </c>
      <c r="N490" s="15">
        <f t="shared" si="95"/>
        <v>3.7641408751334051</v>
      </c>
      <c r="O490" s="22"/>
      <c r="P490" s="22"/>
      <c r="Q490" s="22"/>
      <c r="R490" s="22"/>
      <c r="S490" s="22"/>
    </row>
    <row r="491" spans="1:19" x14ac:dyDescent="0.15">
      <c r="A491" s="22"/>
      <c r="B491" s="22"/>
      <c r="C491" s="22"/>
      <c r="D491" s="22"/>
      <c r="E491" s="22"/>
      <c r="F491" s="22"/>
      <c r="G491" s="41"/>
      <c r="H491" s="15">
        <v>24</v>
      </c>
      <c r="I491" s="15">
        <v>1</v>
      </c>
      <c r="J491" s="15">
        <f t="shared" si="97"/>
        <v>6</v>
      </c>
      <c r="K491" s="15">
        <f t="shared" si="97"/>
        <v>7</v>
      </c>
      <c r="L491" s="15">
        <v>-24.81</v>
      </c>
      <c r="M491" s="22">
        <v>9.4499999999999993</v>
      </c>
      <c r="N491" s="15">
        <f t="shared" si="95"/>
        <v>2.6253968253968254</v>
      </c>
      <c r="O491" s="22"/>
      <c r="P491" s="22"/>
      <c r="Q491" s="22"/>
      <c r="R491" s="22"/>
      <c r="S491" s="22"/>
    </row>
    <row r="492" spans="1:19" x14ac:dyDescent="0.15">
      <c r="A492" s="22"/>
      <c r="B492" s="22"/>
      <c r="C492" s="22"/>
      <c r="D492" s="22"/>
      <c r="E492" s="22"/>
      <c r="F492" s="22"/>
      <c r="G492" s="41"/>
      <c r="H492" s="15">
        <v>24</v>
      </c>
      <c r="I492" s="15">
        <v>1</v>
      </c>
      <c r="J492" s="15">
        <f t="shared" si="97"/>
        <v>7</v>
      </c>
      <c r="K492" s="15">
        <f t="shared" si="97"/>
        <v>8</v>
      </c>
      <c r="L492" s="15">
        <v>-18.37</v>
      </c>
      <c r="M492" s="22">
        <v>9.52</v>
      </c>
      <c r="N492" s="15">
        <f t="shared" si="95"/>
        <v>1.929621848739496</v>
      </c>
      <c r="O492" s="22"/>
      <c r="P492" s="22"/>
      <c r="Q492" s="22"/>
      <c r="R492" s="22"/>
      <c r="S492" s="22"/>
    </row>
    <row r="493" spans="1:19" x14ac:dyDescent="0.15">
      <c r="A493" s="22"/>
      <c r="B493" s="22"/>
      <c r="C493" s="22"/>
      <c r="D493" s="22"/>
      <c r="E493" s="22"/>
      <c r="F493" s="22"/>
      <c r="G493" s="41"/>
      <c r="H493" s="15">
        <v>24</v>
      </c>
      <c r="I493" s="15">
        <v>1</v>
      </c>
      <c r="J493" s="15">
        <f t="shared" si="97"/>
        <v>8</v>
      </c>
      <c r="K493" s="15">
        <f t="shared" si="97"/>
        <v>9</v>
      </c>
      <c r="L493" s="15">
        <v>-15.12</v>
      </c>
      <c r="M493" s="22">
        <v>9.49</v>
      </c>
      <c r="N493" s="15">
        <f t="shared" si="95"/>
        <v>1.5932560590094835</v>
      </c>
      <c r="O493" s="22"/>
      <c r="P493" s="22"/>
      <c r="Q493" s="22"/>
      <c r="R493" s="22"/>
      <c r="S493" s="22"/>
    </row>
    <row r="494" spans="1:19" x14ac:dyDescent="0.15">
      <c r="A494" s="22"/>
      <c r="B494" s="22"/>
      <c r="C494" s="22"/>
      <c r="D494" s="22"/>
      <c r="E494" s="22"/>
      <c r="F494" s="22"/>
      <c r="G494" s="41"/>
      <c r="H494" s="15">
        <v>24</v>
      </c>
      <c r="I494" s="15">
        <v>1</v>
      </c>
      <c r="J494" s="15">
        <f t="shared" si="97"/>
        <v>9</v>
      </c>
      <c r="K494" s="15">
        <f t="shared" si="97"/>
        <v>10</v>
      </c>
      <c r="L494" s="15">
        <v>-13.76</v>
      </c>
      <c r="M494" s="22">
        <v>9.34</v>
      </c>
      <c r="N494" s="15">
        <f t="shared" si="95"/>
        <v>1.4732334047109208</v>
      </c>
      <c r="O494" s="22"/>
      <c r="P494" s="22"/>
      <c r="Q494" s="22"/>
      <c r="R494" s="22"/>
      <c r="S494" s="22"/>
    </row>
    <row r="495" spans="1:19" x14ac:dyDescent="0.15">
      <c r="A495" s="22"/>
      <c r="B495" s="22"/>
      <c r="C495" s="22"/>
      <c r="D495" s="22"/>
      <c r="E495" s="22"/>
      <c r="F495" s="22"/>
      <c r="G495" s="41"/>
      <c r="H495" s="15">
        <v>24</v>
      </c>
      <c r="I495" s="15">
        <v>1</v>
      </c>
      <c r="J495" s="15">
        <f t="shared" si="97"/>
        <v>10</v>
      </c>
      <c r="K495" s="15">
        <f t="shared" si="97"/>
        <v>11</v>
      </c>
      <c r="L495" s="15">
        <v>-14.96</v>
      </c>
      <c r="M495" s="22">
        <v>9.32</v>
      </c>
      <c r="N495" s="15">
        <f t="shared" si="95"/>
        <v>1.6051502145922747</v>
      </c>
      <c r="O495" s="22"/>
      <c r="P495" s="22"/>
      <c r="Q495" s="22"/>
      <c r="R495" s="22"/>
      <c r="S495" s="22"/>
    </row>
    <row r="496" spans="1:19" x14ac:dyDescent="0.15">
      <c r="A496" s="22"/>
      <c r="B496" s="22"/>
      <c r="C496" s="22"/>
      <c r="D496" s="22"/>
      <c r="E496" s="22"/>
      <c r="F496" s="22"/>
      <c r="G496" s="41"/>
      <c r="H496" s="15">
        <v>24</v>
      </c>
      <c r="I496" s="15">
        <v>1</v>
      </c>
      <c r="J496" s="15">
        <f t="shared" si="97"/>
        <v>11</v>
      </c>
      <c r="K496" s="15">
        <f t="shared" si="97"/>
        <v>12</v>
      </c>
      <c r="L496" s="15">
        <v>-11.39</v>
      </c>
      <c r="M496" s="22">
        <v>9.4</v>
      </c>
      <c r="N496" s="15">
        <f t="shared" si="95"/>
        <v>1.2117021276595745</v>
      </c>
      <c r="O496" s="22"/>
      <c r="P496" s="22"/>
      <c r="Q496" s="22"/>
      <c r="R496" s="22"/>
      <c r="S496" s="22"/>
    </row>
    <row r="497" spans="1:19" x14ac:dyDescent="0.15">
      <c r="A497" s="22"/>
      <c r="B497" s="22"/>
      <c r="C497" s="22"/>
      <c r="D497" s="22"/>
      <c r="E497" s="22"/>
      <c r="F497" s="22"/>
      <c r="G497" s="41"/>
      <c r="H497" s="15">
        <v>24</v>
      </c>
      <c r="I497" s="15">
        <v>1</v>
      </c>
      <c r="J497" s="15">
        <f t="shared" si="97"/>
        <v>12</v>
      </c>
      <c r="K497" s="15">
        <f t="shared" si="97"/>
        <v>13</v>
      </c>
      <c r="L497" s="15">
        <v>-11.8</v>
      </c>
      <c r="M497" s="22">
        <v>9.24</v>
      </c>
      <c r="N497" s="15">
        <f t="shared" si="95"/>
        <v>1.277056277056277</v>
      </c>
      <c r="O497" s="22"/>
      <c r="P497" s="22"/>
      <c r="Q497" s="22"/>
      <c r="R497" s="22"/>
      <c r="S497" s="22"/>
    </row>
    <row r="498" spans="1:19" x14ac:dyDescent="0.15">
      <c r="A498" s="22"/>
      <c r="B498" s="22"/>
      <c r="C498" s="22"/>
      <c r="D498" s="22"/>
      <c r="E498" s="22"/>
      <c r="F498" s="22"/>
      <c r="G498" s="41"/>
      <c r="H498" s="15">
        <v>24</v>
      </c>
      <c r="I498" s="15">
        <v>1</v>
      </c>
      <c r="J498" s="15">
        <f t="shared" si="97"/>
        <v>13</v>
      </c>
      <c r="K498" s="15">
        <f t="shared" si="97"/>
        <v>14</v>
      </c>
      <c r="L498" s="15">
        <v>-12.35</v>
      </c>
      <c r="M498" s="22">
        <v>9.16</v>
      </c>
      <c r="N498" s="15">
        <f t="shared" si="95"/>
        <v>1.3482532751091703</v>
      </c>
      <c r="O498" s="22"/>
      <c r="P498" s="22"/>
      <c r="Q498" s="22"/>
      <c r="R498" s="22"/>
      <c r="S498" s="22"/>
    </row>
    <row r="499" spans="1:19" x14ac:dyDescent="0.15">
      <c r="A499" s="22"/>
      <c r="B499" s="22"/>
      <c r="C499" s="22"/>
      <c r="D499" s="22"/>
      <c r="E499" s="22"/>
      <c r="F499" s="22"/>
      <c r="G499" s="41"/>
      <c r="H499" s="15">
        <v>24</v>
      </c>
      <c r="I499" s="15">
        <v>1</v>
      </c>
      <c r="J499" s="15">
        <f t="shared" si="97"/>
        <v>14</v>
      </c>
      <c r="K499" s="15">
        <f t="shared" si="97"/>
        <v>15</v>
      </c>
      <c r="L499" s="15">
        <v>-12.13</v>
      </c>
      <c r="M499" s="22">
        <v>9.1999999999999993</v>
      </c>
      <c r="N499" s="15">
        <f t="shared" si="95"/>
        <v>1.3184782608695653</v>
      </c>
      <c r="O499" s="22"/>
      <c r="P499" s="22"/>
      <c r="Q499" s="22"/>
      <c r="R499" s="22"/>
      <c r="S499" s="22"/>
    </row>
    <row r="500" spans="1:19" x14ac:dyDescent="0.15">
      <c r="A500" s="22"/>
      <c r="B500" s="22"/>
      <c r="C500" s="22"/>
      <c r="D500" s="22"/>
      <c r="E500" s="22"/>
      <c r="F500" s="22"/>
      <c r="G500" s="41"/>
      <c r="H500" s="15">
        <v>24</v>
      </c>
      <c r="I500" s="15">
        <v>1</v>
      </c>
      <c r="J500" s="15">
        <f t="shared" si="97"/>
        <v>15</v>
      </c>
      <c r="K500" s="15">
        <f t="shared" si="97"/>
        <v>16</v>
      </c>
      <c r="L500" s="15">
        <v>-14.95</v>
      </c>
      <c r="M500" s="22">
        <v>9.4</v>
      </c>
      <c r="N500" s="15">
        <f t="shared" si="95"/>
        <v>1.5904255319148934</v>
      </c>
      <c r="O500" s="22"/>
      <c r="P500" s="22"/>
      <c r="Q500" s="22"/>
      <c r="R500" s="22"/>
      <c r="S500" s="22"/>
    </row>
    <row r="501" spans="1:19" x14ac:dyDescent="0.15">
      <c r="A501" s="22"/>
      <c r="B501" s="22"/>
      <c r="C501" s="22"/>
      <c r="D501" s="22"/>
      <c r="E501" s="22"/>
      <c r="F501" s="22"/>
      <c r="G501" s="41"/>
      <c r="H501" s="15">
        <v>24</v>
      </c>
      <c r="I501" s="15">
        <v>1</v>
      </c>
      <c r="J501" s="15">
        <f t="shared" si="97"/>
        <v>16</v>
      </c>
      <c r="K501" s="15">
        <f t="shared" si="97"/>
        <v>17</v>
      </c>
      <c r="L501" s="15">
        <v>-17.07</v>
      </c>
      <c r="M501" s="22">
        <v>9.3000000000000007</v>
      </c>
      <c r="N501" s="15">
        <f t="shared" si="95"/>
        <v>1.8354838709677419</v>
      </c>
      <c r="O501" s="22"/>
      <c r="P501" s="22"/>
      <c r="Q501" s="22"/>
      <c r="R501" s="22"/>
      <c r="S501" s="22"/>
    </row>
    <row r="502" spans="1:19" x14ac:dyDescent="0.15">
      <c r="A502" s="22"/>
      <c r="B502" s="22"/>
      <c r="C502" s="22"/>
      <c r="D502" s="22"/>
      <c r="E502" s="22"/>
      <c r="F502" s="22"/>
      <c r="G502" s="41"/>
      <c r="H502" s="15">
        <v>24</v>
      </c>
      <c r="I502" s="15">
        <v>1</v>
      </c>
      <c r="J502" s="15">
        <f t="shared" si="97"/>
        <v>17</v>
      </c>
      <c r="K502" s="15">
        <f t="shared" si="97"/>
        <v>18</v>
      </c>
      <c r="L502" s="15">
        <v>-19.12</v>
      </c>
      <c r="M502" s="22">
        <v>9.1</v>
      </c>
      <c r="N502" s="15">
        <f t="shared" si="95"/>
        <v>2.1010989010989012</v>
      </c>
      <c r="O502" s="22"/>
      <c r="P502" s="22"/>
      <c r="Q502" s="22"/>
      <c r="R502" s="22"/>
      <c r="S502" s="22"/>
    </row>
    <row r="503" spans="1:19" x14ac:dyDescent="0.15">
      <c r="A503" s="22"/>
      <c r="B503" s="22"/>
      <c r="C503" s="22"/>
      <c r="D503" s="22"/>
      <c r="E503" s="22"/>
      <c r="F503" s="22"/>
      <c r="G503" s="41"/>
      <c r="H503" s="15">
        <v>24</v>
      </c>
      <c r="I503" s="15">
        <v>1</v>
      </c>
      <c r="J503" s="15">
        <f t="shared" si="97"/>
        <v>18</v>
      </c>
      <c r="K503" s="15">
        <f t="shared" si="97"/>
        <v>19</v>
      </c>
      <c r="L503" s="15">
        <v>-26.93</v>
      </c>
      <c r="M503" s="22">
        <v>9.0399999999999991</v>
      </c>
      <c r="N503" s="15">
        <f t="shared" si="95"/>
        <v>2.9789823008849559</v>
      </c>
      <c r="O503" s="22"/>
      <c r="P503" s="22"/>
      <c r="Q503" s="22"/>
      <c r="R503" s="22"/>
      <c r="S503" s="22"/>
    </row>
    <row r="504" spans="1:19" x14ac:dyDescent="0.15">
      <c r="A504" s="22"/>
      <c r="B504" s="22"/>
      <c r="C504" s="22"/>
      <c r="D504" s="22"/>
      <c r="E504" s="22"/>
      <c r="F504" s="22"/>
      <c r="G504" s="41"/>
      <c r="H504" s="15">
        <v>24</v>
      </c>
      <c r="I504" s="15">
        <v>1</v>
      </c>
      <c r="J504" s="15">
        <f t="shared" si="97"/>
        <v>19</v>
      </c>
      <c r="K504" s="15">
        <f t="shared" si="97"/>
        <v>20</v>
      </c>
      <c r="L504" s="15">
        <v>-35.49</v>
      </c>
      <c r="M504" s="22">
        <v>8.91</v>
      </c>
      <c r="N504" s="15">
        <f t="shared" si="95"/>
        <v>3.9831649831649831</v>
      </c>
      <c r="O504" s="22"/>
      <c r="P504" s="22"/>
      <c r="Q504" s="22"/>
      <c r="R504" s="22"/>
      <c r="S504" s="22"/>
    </row>
    <row r="505" spans="1:19" x14ac:dyDescent="0.15">
      <c r="A505" s="22"/>
      <c r="B505" s="22"/>
      <c r="C505" s="22"/>
      <c r="D505" s="22"/>
      <c r="E505" s="22"/>
      <c r="F505" s="22"/>
      <c r="G505" s="41"/>
      <c r="H505" s="15">
        <v>24</v>
      </c>
      <c r="I505" s="15">
        <v>1</v>
      </c>
      <c r="J505" s="15">
        <f t="shared" si="97"/>
        <v>20</v>
      </c>
      <c r="K505" s="15">
        <f t="shared" si="97"/>
        <v>21</v>
      </c>
      <c r="L505" s="15">
        <v>-64.92</v>
      </c>
      <c r="M505" s="22">
        <v>9.09</v>
      </c>
      <c r="N505" s="15">
        <f t="shared" si="95"/>
        <v>7.1419141914191426</v>
      </c>
      <c r="O505" s="22"/>
      <c r="P505" s="22"/>
      <c r="Q505" s="22"/>
      <c r="R505" s="22"/>
      <c r="S505" s="22"/>
    </row>
    <row r="506" spans="1:19" x14ac:dyDescent="0.15">
      <c r="A506" s="22"/>
      <c r="B506" s="22"/>
      <c r="C506" s="22"/>
      <c r="D506" s="22"/>
      <c r="E506" s="22"/>
      <c r="F506" s="22"/>
      <c r="G506" s="41"/>
      <c r="H506" s="15">
        <v>24</v>
      </c>
      <c r="I506" s="15">
        <v>1</v>
      </c>
      <c r="J506" s="15">
        <f t="shared" si="97"/>
        <v>21</v>
      </c>
      <c r="K506" s="15">
        <f t="shared" si="97"/>
        <v>22</v>
      </c>
      <c r="L506" s="15">
        <v>-166.45</v>
      </c>
      <c r="M506" s="22">
        <v>8.99</v>
      </c>
      <c r="N506" s="15">
        <f t="shared" si="95"/>
        <v>18.515016685205783</v>
      </c>
      <c r="O506" s="22"/>
      <c r="P506" s="22"/>
      <c r="Q506" s="22"/>
      <c r="R506" s="22"/>
      <c r="S506" s="22"/>
    </row>
    <row r="507" spans="1:19" x14ac:dyDescent="0.15">
      <c r="A507" s="22"/>
      <c r="B507" s="22"/>
      <c r="C507" s="22"/>
      <c r="D507" s="22"/>
      <c r="E507" s="22"/>
      <c r="F507" s="22"/>
      <c r="G507" s="41"/>
      <c r="H507" s="15">
        <v>24</v>
      </c>
      <c r="I507" s="15">
        <v>1</v>
      </c>
      <c r="J507" s="15">
        <f t="shared" si="97"/>
        <v>22</v>
      </c>
      <c r="K507" s="15">
        <f t="shared" si="97"/>
        <v>23</v>
      </c>
      <c r="L507" s="22">
        <v>-630.47</v>
      </c>
      <c r="M507" s="22">
        <v>8.98</v>
      </c>
      <c r="N507" s="15">
        <f t="shared" si="95"/>
        <v>70.208240534521153</v>
      </c>
      <c r="O507" s="22"/>
      <c r="P507" s="22"/>
      <c r="Q507" s="22"/>
      <c r="R507" s="22"/>
      <c r="S507" s="22"/>
    </row>
  </sheetData>
  <mergeCells count="4">
    <mergeCell ref="A1:S1"/>
    <mergeCell ref="A2:F2"/>
    <mergeCell ref="H2:M2"/>
    <mergeCell ref="O2:S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9"/>
  <sheetViews>
    <sheetView workbookViewId="0">
      <selection activeCell="A2" sqref="A2:F2"/>
    </sheetView>
  </sheetViews>
  <sheetFormatPr defaultRowHeight="13.5" x14ac:dyDescent="0.15"/>
  <sheetData>
    <row r="1" spans="1:19" x14ac:dyDescent="0.15">
      <c r="A1" s="56" t="s">
        <v>54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</row>
    <row r="2" spans="1:19" x14ac:dyDescent="0.15">
      <c r="A2" s="54" t="s">
        <v>20</v>
      </c>
      <c r="B2" s="54"/>
      <c r="C2" s="54"/>
      <c r="D2" s="54"/>
      <c r="E2" s="54"/>
      <c r="F2" s="54"/>
      <c r="G2" s="24"/>
      <c r="H2" s="55" t="s">
        <v>34</v>
      </c>
      <c r="I2" s="55"/>
      <c r="J2" s="55"/>
      <c r="K2" s="55"/>
      <c r="L2" s="55"/>
      <c r="M2" s="55"/>
      <c r="N2" s="28"/>
      <c r="O2" s="57" t="s">
        <v>35</v>
      </c>
      <c r="P2" s="57"/>
      <c r="Q2" s="57"/>
      <c r="R2" s="57"/>
      <c r="S2" s="57"/>
    </row>
    <row r="3" spans="1:19" x14ac:dyDescent="0.15">
      <c r="A3" s="23" t="s">
        <v>37</v>
      </c>
      <c r="B3" s="23" t="s">
        <v>38</v>
      </c>
      <c r="C3" s="23" t="s">
        <v>39</v>
      </c>
      <c r="D3" s="23" t="s">
        <v>40</v>
      </c>
      <c r="E3" s="23" t="s">
        <v>21</v>
      </c>
      <c r="F3" s="23" t="s">
        <v>22</v>
      </c>
      <c r="G3" s="23"/>
      <c r="H3" s="15" t="s">
        <v>37</v>
      </c>
      <c r="I3" s="15" t="s">
        <v>41</v>
      </c>
      <c r="J3" s="15" t="s">
        <v>42</v>
      </c>
      <c r="K3" s="15" t="s">
        <v>43</v>
      </c>
      <c r="L3" s="15" t="s">
        <v>21</v>
      </c>
      <c r="M3" s="15" t="s">
        <v>22</v>
      </c>
      <c r="N3" s="15"/>
      <c r="O3" s="15" t="s">
        <v>44</v>
      </c>
      <c r="P3" s="15" t="s">
        <v>45</v>
      </c>
      <c r="Q3" s="15" t="s">
        <v>41</v>
      </c>
      <c r="R3" s="15" t="s">
        <v>21</v>
      </c>
      <c r="S3" s="15" t="s">
        <v>22</v>
      </c>
    </row>
    <row r="4" spans="1:19" x14ac:dyDescent="0.15">
      <c r="A4" s="23">
        <v>1</v>
      </c>
      <c r="B4" s="17">
        <f>A4+1</f>
        <v>2</v>
      </c>
      <c r="C4" s="23">
        <f>B4+1</f>
        <v>3</v>
      </c>
      <c r="D4" s="23">
        <f>C4+1</f>
        <v>4</v>
      </c>
      <c r="E4" s="23">
        <v>1554.99</v>
      </c>
      <c r="F4" s="23">
        <v>1.31</v>
      </c>
      <c r="G4" s="23">
        <f t="shared" ref="G4:G35" si="0">E4/F4</f>
        <v>1187.0152671755725</v>
      </c>
      <c r="H4" s="15">
        <v>1</v>
      </c>
      <c r="I4" s="15">
        <v>2</v>
      </c>
      <c r="J4" s="22">
        <v>3</v>
      </c>
      <c r="K4" s="15">
        <v>4</v>
      </c>
      <c r="L4" s="15">
        <v>-556.79999999999995</v>
      </c>
      <c r="M4" s="15">
        <v>1.34</v>
      </c>
      <c r="N4" s="15">
        <f t="shared" ref="N4:N67" si="1">L4/M4</f>
        <v>-415.52238805970143</v>
      </c>
      <c r="O4" s="15">
        <v>1</v>
      </c>
      <c r="P4" s="15">
        <v>2</v>
      </c>
      <c r="Q4" s="15">
        <v>3</v>
      </c>
      <c r="R4" s="15"/>
      <c r="S4" s="15"/>
    </row>
    <row r="5" spans="1:19" x14ac:dyDescent="0.15">
      <c r="A5" s="23">
        <v>1</v>
      </c>
      <c r="B5" s="17">
        <f t="shared" ref="B5:B10" si="2">B4+1</f>
        <v>3</v>
      </c>
      <c r="C5" s="23">
        <f t="shared" ref="C5:C10" si="3">C4+2</f>
        <v>5</v>
      </c>
      <c r="D5" s="23">
        <f t="shared" ref="D5:D10" si="4">D4+3</f>
        <v>7</v>
      </c>
      <c r="E5" s="23">
        <v>943.09</v>
      </c>
      <c r="F5" s="23">
        <v>1.39</v>
      </c>
      <c r="G5" s="23">
        <f t="shared" si="0"/>
        <v>678.48201438848923</v>
      </c>
      <c r="H5" s="15">
        <v>1</v>
      </c>
      <c r="I5" s="15">
        <v>2</v>
      </c>
      <c r="J5" s="22">
        <v>4</v>
      </c>
      <c r="K5" s="15">
        <v>5</v>
      </c>
      <c r="L5" s="15">
        <v>-128.1</v>
      </c>
      <c r="M5" s="15">
        <v>1.22</v>
      </c>
      <c r="N5" s="15">
        <f t="shared" si="1"/>
        <v>-105</v>
      </c>
      <c r="O5" s="15">
        <v>1</v>
      </c>
      <c r="P5" s="15">
        <f>P4+1</f>
        <v>3</v>
      </c>
      <c r="Q5" s="15">
        <f>Q4+2</f>
        <v>5</v>
      </c>
      <c r="R5" s="15"/>
      <c r="S5" s="15"/>
    </row>
    <row r="6" spans="1:19" x14ac:dyDescent="0.15">
      <c r="A6" s="23">
        <v>1</v>
      </c>
      <c r="B6" s="17">
        <f t="shared" si="2"/>
        <v>4</v>
      </c>
      <c r="C6" s="23">
        <f t="shared" si="3"/>
        <v>7</v>
      </c>
      <c r="D6" s="23">
        <f t="shared" si="4"/>
        <v>10</v>
      </c>
      <c r="E6" s="23">
        <v>600.87</v>
      </c>
      <c r="F6" s="23">
        <v>1.27</v>
      </c>
      <c r="G6" s="23">
        <f t="shared" si="0"/>
        <v>473.12598425196848</v>
      </c>
      <c r="H6" s="15">
        <v>1</v>
      </c>
      <c r="I6" s="15">
        <v>2</v>
      </c>
      <c r="J6" s="22">
        <v>5</v>
      </c>
      <c r="K6" s="15">
        <v>6</v>
      </c>
      <c r="L6" s="15">
        <v>-47.87</v>
      </c>
      <c r="M6" s="15">
        <v>1.1599999999999999</v>
      </c>
      <c r="N6" s="15">
        <f t="shared" si="1"/>
        <v>-41.267241379310349</v>
      </c>
      <c r="O6" s="15">
        <v>1</v>
      </c>
      <c r="P6" s="15">
        <f>P5+1</f>
        <v>4</v>
      </c>
      <c r="Q6" s="15">
        <f>Q5+2</f>
        <v>7</v>
      </c>
      <c r="R6" s="15"/>
      <c r="S6" s="15"/>
    </row>
    <row r="7" spans="1:19" x14ac:dyDescent="0.15">
      <c r="A7" s="23">
        <v>1</v>
      </c>
      <c r="B7" s="17">
        <f t="shared" si="2"/>
        <v>5</v>
      </c>
      <c r="C7" s="23">
        <f t="shared" si="3"/>
        <v>9</v>
      </c>
      <c r="D7" s="23">
        <f t="shared" si="4"/>
        <v>13</v>
      </c>
      <c r="E7" s="23">
        <v>507.98</v>
      </c>
      <c r="F7" s="23">
        <v>1.6</v>
      </c>
      <c r="G7" s="23">
        <f t="shared" si="0"/>
        <v>317.48750000000001</v>
      </c>
      <c r="H7" s="15">
        <v>1</v>
      </c>
      <c r="I7" s="15">
        <v>2</v>
      </c>
      <c r="J7" s="22">
        <v>6</v>
      </c>
      <c r="K7" s="15">
        <v>7</v>
      </c>
      <c r="L7" s="15">
        <v>-25.03</v>
      </c>
      <c r="M7" s="15">
        <v>1.1499999999999999</v>
      </c>
      <c r="N7" s="15">
        <f t="shared" si="1"/>
        <v>-21.765217391304351</v>
      </c>
      <c r="O7" s="15">
        <v>1</v>
      </c>
      <c r="P7" s="15">
        <f>P6+1</f>
        <v>5</v>
      </c>
      <c r="Q7" s="15">
        <f>Q6+2</f>
        <v>9</v>
      </c>
      <c r="R7" s="15"/>
      <c r="S7" s="15"/>
    </row>
    <row r="8" spans="1:19" x14ac:dyDescent="0.15">
      <c r="A8" s="23">
        <v>1</v>
      </c>
      <c r="B8" s="17">
        <f t="shared" si="2"/>
        <v>6</v>
      </c>
      <c r="C8" s="23">
        <f t="shared" si="3"/>
        <v>11</v>
      </c>
      <c r="D8" s="23">
        <f t="shared" si="4"/>
        <v>16</v>
      </c>
      <c r="E8" s="23">
        <v>361.96</v>
      </c>
      <c r="F8" s="23">
        <v>1.48</v>
      </c>
      <c r="G8" s="23">
        <f t="shared" si="0"/>
        <v>244.56756756756755</v>
      </c>
      <c r="H8" s="15">
        <v>1</v>
      </c>
      <c r="I8" s="15">
        <v>2</v>
      </c>
      <c r="J8" s="22">
        <v>7</v>
      </c>
      <c r="K8" s="15">
        <v>8</v>
      </c>
      <c r="L8" s="15">
        <v>-14.13</v>
      </c>
      <c r="M8" s="15">
        <v>1.17</v>
      </c>
      <c r="N8" s="15">
        <f t="shared" si="1"/>
        <v>-12.076923076923078</v>
      </c>
      <c r="O8" s="15">
        <v>1</v>
      </c>
      <c r="P8" s="15">
        <f>P7+1</f>
        <v>6</v>
      </c>
      <c r="Q8" s="15">
        <f>Q7+2</f>
        <v>11</v>
      </c>
      <c r="R8" s="15"/>
      <c r="S8" s="15"/>
    </row>
    <row r="9" spans="1:19" x14ac:dyDescent="0.15">
      <c r="A9" s="23">
        <v>1</v>
      </c>
      <c r="B9" s="17">
        <f t="shared" si="2"/>
        <v>7</v>
      </c>
      <c r="C9" s="23">
        <f t="shared" si="3"/>
        <v>13</v>
      </c>
      <c r="D9" s="23">
        <f t="shared" si="4"/>
        <v>19</v>
      </c>
      <c r="E9" s="23">
        <v>279.16000000000003</v>
      </c>
      <c r="F9" s="23">
        <v>1.51</v>
      </c>
      <c r="G9" s="23">
        <f t="shared" si="0"/>
        <v>184.87417218543047</v>
      </c>
      <c r="H9" s="15">
        <v>1</v>
      </c>
      <c r="I9" s="15">
        <v>2</v>
      </c>
      <c r="J9" s="22">
        <v>8</v>
      </c>
      <c r="K9" s="15">
        <v>9</v>
      </c>
      <c r="L9" s="15">
        <v>-10.25</v>
      </c>
      <c r="M9" s="15">
        <v>1.18</v>
      </c>
      <c r="N9" s="15">
        <f t="shared" si="1"/>
        <v>-8.6864406779661021</v>
      </c>
      <c r="O9" s="15">
        <v>1</v>
      </c>
      <c r="P9" s="15">
        <f>P8+1</f>
        <v>7</v>
      </c>
      <c r="Q9" s="15">
        <f>Q8+2</f>
        <v>13</v>
      </c>
      <c r="R9" s="15"/>
      <c r="S9" s="15"/>
    </row>
    <row r="10" spans="1:19" x14ac:dyDescent="0.15">
      <c r="A10" s="23">
        <v>1</v>
      </c>
      <c r="B10" s="17">
        <f t="shared" si="2"/>
        <v>8</v>
      </c>
      <c r="C10" s="23">
        <f t="shared" si="3"/>
        <v>15</v>
      </c>
      <c r="D10" s="23">
        <f t="shared" si="4"/>
        <v>22</v>
      </c>
      <c r="E10" s="23">
        <v>133.5</v>
      </c>
      <c r="F10" s="23">
        <v>1.41</v>
      </c>
      <c r="G10" s="23">
        <f t="shared" si="0"/>
        <v>94.680851063829792</v>
      </c>
      <c r="H10" s="15">
        <v>1</v>
      </c>
      <c r="I10" s="15">
        <v>2</v>
      </c>
      <c r="J10" s="22">
        <v>9</v>
      </c>
      <c r="K10" s="15">
        <v>10</v>
      </c>
      <c r="L10" s="15">
        <v>-8.3699999999999992</v>
      </c>
      <c r="M10" s="15">
        <v>1.2</v>
      </c>
      <c r="N10" s="15">
        <f t="shared" si="1"/>
        <v>-6.9749999999999996</v>
      </c>
      <c r="O10" s="15">
        <v>2</v>
      </c>
      <c r="P10" s="15">
        <v>3</v>
      </c>
      <c r="Q10" s="15">
        <v>4</v>
      </c>
      <c r="R10" s="15"/>
      <c r="S10" s="15"/>
    </row>
    <row r="11" spans="1:19" x14ac:dyDescent="0.15">
      <c r="A11" s="23">
        <v>2</v>
      </c>
      <c r="B11" s="17">
        <f>A11+1</f>
        <v>3</v>
      </c>
      <c r="C11" s="23">
        <f>B11+1</f>
        <v>4</v>
      </c>
      <c r="D11" s="23">
        <f>C11+1</f>
        <v>5</v>
      </c>
      <c r="E11" s="23">
        <v>1345.8</v>
      </c>
      <c r="F11" s="23">
        <v>1.1000000000000001</v>
      </c>
      <c r="G11" s="23">
        <f t="shared" si="0"/>
        <v>1223.4545454545453</v>
      </c>
      <c r="H11" s="15">
        <v>1</v>
      </c>
      <c r="I11" s="15">
        <v>2</v>
      </c>
      <c r="J11" s="22">
        <v>10</v>
      </c>
      <c r="K11" s="15">
        <v>11</v>
      </c>
      <c r="L11" s="15">
        <v>-5.32</v>
      </c>
      <c r="M11" s="15">
        <v>1.17</v>
      </c>
      <c r="N11" s="15">
        <f t="shared" si="1"/>
        <v>-4.5470085470085477</v>
      </c>
      <c r="O11" s="15">
        <v>2</v>
      </c>
      <c r="P11" s="15">
        <f>P10+1</f>
        <v>4</v>
      </c>
      <c r="Q11" s="15">
        <f>Q10+2</f>
        <v>6</v>
      </c>
      <c r="R11" s="15"/>
      <c r="S11" s="15"/>
    </row>
    <row r="12" spans="1:19" x14ac:dyDescent="0.15">
      <c r="A12" s="23">
        <v>2</v>
      </c>
      <c r="B12" s="17">
        <f t="shared" ref="B12:B17" si="5">B11+1</f>
        <v>4</v>
      </c>
      <c r="C12" s="23">
        <f t="shared" ref="C12:C17" si="6">C11+2</f>
        <v>6</v>
      </c>
      <c r="D12" s="23">
        <f t="shared" ref="D12:D17" si="7">D11+3</f>
        <v>8</v>
      </c>
      <c r="E12" s="23">
        <v>768.1</v>
      </c>
      <c r="F12" s="23">
        <v>1.18</v>
      </c>
      <c r="G12" s="23">
        <f t="shared" si="0"/>
        <v>650.93220338983053</v>
      </c>
      <c r="H12" s="15">
        <v>1</v>
      </c>
      <c r="I12" s="15">
        <v>2</v>
      </c>
      <c r="J12" s="22">
        <v>11</v>
      </c>
      <c r="K12" s="15">
        <v>12</v>
      </c>
      <c r="L12" s="15">
        <v>-4.8899999999999997</v>
      </c>
      <c r="M12" s="15">
        <v>1.1599999999999999</v>
      </c>
      <c r="N12" s="15">
        <f t="shared" si="1"/>
        <v>-4.2155172413793105</v>
      </c>
      <c r="O12" s="15">
        <v>2</v>
      </c>
      <c r="P12" s="15">
        <f>P11+1</f>
        <v>5</v>
      </c>
      <c r="Q12" s="15">
        <f>Q11+2</f>
        <v>8</v>
      </c>
      <c r="R12" s="15"/>
      <c r="S12" s="15"/>
    </row>
    <row r="13" spans="1:19" x14ac:dyDescent="0.15">
      <c r="A13" s="23">
        <v>2</v>
      </c>
      <c r="B13" s="17">
        <f t="shared" si="5"/>
        <v>5</v>
      </c>
      <c r="C13" s="23">
        <f t="shared" si="6"/>
        <v>8</v>
      </c>
      <c r="D13" s="23">
        <f t="shared" si="7"/>
        <v>11</v>
      </c>
      <c r="E13" s="23">
        <v>568.4</v>
      </c>
      <c r="F13" s="23">
        <v>1.19</v>
      </c>
      <c r="G13" s="23">
        <f t="shared" si="0"/>
        <v>477.64705882352939</v>
      </c>
      <c r="H13" s="15">
        <v>1</v>
      </c>
      <c r="I13" s="15">
        <v>2</v>
      </c>
      <c r="J13" s="22">
        <v>12</v>
      </c>
      <c r="K13" s="15">
        <v>13</v>
      </c>
      <c r="L13" s="15">
        <v>-4.88</v>
      </c>
      <c r="M13" s="15">
        <v>1.21</v>
      </c>
      <c r="N13" s="15">
        <f t="shared" si="1"/>
        <v>-4.0330578512396693</v>
      </c>
      <c r="O13" s="15">
        <v>2</v>
      </c>
      <c r="P13" s="15">
        <f>P12+1</f>
        <v>6</v>
      </c>
      <c r="Q13" s="15">
        <f>Q12+2</f>
        <v>10</v>
      </c>
      <c r="R13" s="15"/>
      <c r="S13" s="15"/>
    </row>
    <row r="14" spans="1:19" x14ac:dyDescent="0.15">
      <c r="A14" s="23">
        <v>2</v>
      </c>
      <c r="B14" s="17">
        <f t="shared" si="5"/>
        <v>6</v>
      </c>
      <c r="C14" s="23">
        <f t="shared" si="6"/>
        <v>10</v>
      </c>
      <c r="D14" s="23">
        <f t="shared" si="7"/>
        <v>14</v>
      </c>
      <c r="E14" s="23">
        <v>413.06</v>
      </c>
      <c r="F14" s="23">
        <v>1.19</v>
      </c>
      <c r="G14" s="23">
        <f t="shared" si="0"/>
        <v>347.10924369747903</v>
      </c>
      <c r="H14" s="15">
        <v>1</v>
      </c>
      <c r="I14" s="15">
        <v>2</v>
      </c>
      <c r="J14" s="22">
        <v>13</v>
      </c>
      <c r="K14" s="15">
        <v>14</v>
      </c>
      <c r="L14" s="15">
        <v>-4.67</v>
      </c>
      <c r="M14" s="15">
        <v>1.1599999999999999</v>
      </c>
      <c r="N14" s="15">
        <f t="shared" si="1"/>
        <v>-4.0258620689655178</v>
      </c>
      <c r="O14" s="15">
        <v>2</v>
      </c>
      <c r="P14" s="15">
        <f>P13+1</f>
        <v>7</v>
      </c>
      <c r="Q14" s="15">
        <f>Q13+2</f>
        <v>12</v>
      </c>
      <c r="R14" s="15"/>
      <c r="S14" s="15"/>
    </row>
    <row r="15" spans="1:19" x14ac:dyDescent="0.15">
      <c r="A15" s="23">
        <v>2</v>
      </c>
      <c r="B15" s="17">
        <f t="shared" si="5"/>
        <v>7</v>
      </c>
      <c r="C15" s="23">
        <f t="shared" si="6"/>
        <v>12</v>
      </c>
      <c r="D15" s="23">
        <f t="shared" si="7"/>
        <v>17</v>
      </c>
      <c r="E15" s="23">
        <v>257.77</v>
      </c>
      <c r="F15" s="23">
        <v>1.07</v>
      </c>
      <c r="G15" s="23">
        <f t="shared" si="0"/>
        <v>240.90654205607473</v>
      </c>
      <c r="H15" s="15">
        <v>1</v>
      </c>
      <c r="I15" s="15">
        <v>2</v>
      </c>
      <c r="J15" s="22">
        <v>14</v>
      </c>
      <c r="K15" s="15">
        <v>15</v>
      </c>
      <c r="L15" s="15">
        <v>-4.01</v>
      </c>
      <c r="M15" s="15">
        <v>1.21</v>
      </c>
      <c r="N15" s="15">
        <f t="shared" si="1"/>
        <v>-3.3140495867768593</v>
      </c>
      <c r="O15" s="15">
        <v>2</v>
      </c>
      <c r="P15" s="15">
        <f>P14+1</f>
        <v>8</v>
      </c>
      <c r="Q15" s="15">
        <f>Q14+2</f>
        <v>14</v>
      </c>
      <c r="R15" s="15"/>
      <c r="S15" s="22"/>
    </row>
    <row r="16" spans="1:19" x14ac:dyDescent="0.15">
      <c r="A16" s="23">
        <v>2</v>
      </c>
      <c r="B16" s="17">
        <f t="shared" si="5"/>
        <v>8</v>
      </c>
      <c r="C16" s="23">
        <f t="shared" si="6"/>
        <v>14</v>
      </c>
      <c r="D16" s="23">
        <f t="shared" si="7"/>
        <v>20</v>
      </c>
      <c r="E16" s="23">
        <v>207.96</v>
      </c>
      <c r="F16" s="23">
        <v>1.1299999999999999</v>
      </c>
      <c r="G16" s="23">
        <f t="shared" si="0"/>
        <v>184.03539823008853</v>
      </c>
      <c r="H16" s="15">
        <v>1</v>
      </c>
      <c r="I16" s="15">
        <v>2</v>
      </c>
      <c r="J16" s="22">
        <v>15</v>
      </c>
      <c r="K16" s="15">
        <v>16</v>
      </c>
      <c r="L16" s="15">
        <v>-6.55</v>
      </c>
      <c r="M16" s="15">
        <v>1.22</v>
      </c>
      <c r="N16" s="15">
        <f t="shared" si="1"/>
        <v>-5.3688524590163933</v>
      </c>
      <c r="O16" s="15">
        <v>3</v>
      </c>
      <c r="P16" s="15">
        <v>4</v>
      </c>
      <c r="Q16" s="15">
        <v>5</v>
      </c>
      <c r="R16" s="15"/>
      <c r="S16" s="22"/>
    </row>
    <row r="17" spans="1:19" x14ac:dyDescent="0.15">
      <c r="A17" s="23">
        <v>2</v>
      </c>
      <c r="B17" s="17">
        <f t="shared" si="5"/>
        <v>9</v>
      </c>
      <c r="C17" s="23">
        <f t="shared" si="6"/>
        <v>16</v>
      </c>
      <c r="D17" s="23">
        <f t="shared" si="7"/>
        <v>23</v>
      </c>
      <c r="E17" s="23">
        <v>123.77</v>
      </c>
      <c r="F17" s="23">
        <v>1.41</v>
      </c>
      <c r="G17" s="23">
        <f t="shared" si="0"/>
        <v>87.780141843971634</v>
      </c>
      <c r="H17" s="15">
        <v>1</v>
      </c>
      <c r="I17" s="15">
        <v>2</v>
      </c>
      <c r="J17" s="22">
        <v>16</v>
      </c>
      <c r="K17" s="15">
        <v>17</v>
      </c>
      <c r="L17" s="15">
        <v>-7.35</v>
      </c>
      <c r="M17" s="15">
        <v>1.24</v>
      </c>
      <c r="N17" s="15">
        <f t="shared" si="1"/>
        <v>-5.9274193548387091</v>
      </c>
      <c r="O17" s="15">
        <v>3</v>
      </c>
      <c r="P17" s="15">
        <f>P16+1</f>
        <v>5</v>
      </c>
      <c r="Q17" s="15">
        <f>Q16+2</f>
        <v>7</v>
      </c>
      <c r="R17" s="15"/>
      <c r="S17" s="22"/>
    </row>
    <row r="18" spans="1:19" x14ac:dyDescent="0.15">
      <c r="A18" s="23">
        <v>3</v>
      </c>
      <c r="B18" s="17">
        <f>A18+1</f>
        <v>4</v>
      </c>
      <c r="C18" s="23">
        <f>B18+1</f>
        <v>5</v>
      </c>
      <c r="D18" s="23">
        <f>C18+1</f>
        <v>6</v>
      </c>
      <c r="E18" s="23">
        <v>1832.64</v>
      </c>
      <c r="F18" s="23">
        <v>1.41</v>
      </c>
      <c r="G18" s="23">
        <f t="shared" si="0"/>
        <v>1299.744680851064</v>
      </c>
      <c r="H18" s="15">
        <v>1</v>
      </c>
      <c r="I18" s="15">
        <v>2</v>
      </c>
      <c r="J18" s="22">
        <v>17</v>
      </c>
      <c r="K18" s="15">
        <v>18</v>
      </c>
      <c r="L18" s="15">
        <v>-6.03</v>
      </c>
      <c r="M18" s="15">
        <v>1.21</v>
      </c>
      <c r="N18" s="15">
        <f t="shared" si="1"/>
        <v>-4.9834710743801658</v>
      </c>
      <c r="O18" s="15">
        <v>3</v>
      </c>
      <c r="P18" s="15">
        <f>P17+1</f>
        <v>6</v>
      </c>
      <c r="Q18" s="15">
        <f>Q17+2</f>
        <v>9</v>
      </c>
      <c r="R18" s="15"/>
      <c r="S18" s="15"/>
    </row>
    <row r="19" spans="1:19" x14ac:dyDescent="0.15">
      <c r="A19" s="23">
        <v>3</v>
      </c>
      <c r="B19" s="17">
        <f t="shared" ref="B19:B24" si="8">B18+1</f>
        <v>5</v>
      </c>
      <c r="C19" s="23">
        <f t="shared" ref="C19:C24" si="9">C18+2</f>
        <v>7</v>
      </c>
      <c r="D19" s="23">
        <f t="shared" ref="D19:D24" si="10">D18+3</f>
        <v>9</v>
      </c>
      <c r="E19" s="23">
        <v>952.59</v>
      </c>
      <c r="F19" s="23">
        <v>1.45</v>
      </c>
      <c r="G19" s="23">
        <f t="shared" si="0"/>
        <v>656.95862068965516</v>
      </c>
      <c r="H19" s="15">
        <v>1</v>
      </c>
      <c r="I19" s="15">
        <v>2</v>
      </c>
      <c r="J19" s="22">
        <v>18</v>
      </c>
      <c r="K19" s="15">
        <v>19</v>
      </c>
      <c r="L19" s="15">
        <v>-12.01</v>
      </c>
      <c r="M19" s="15">
        <v>1.25</v>
      </c>
      <c r="N19" s="15">
        <f t="shared" si="1"/>
        <v>-9.6080000000000005</v>
      </c>
      <c r="O19" s="15">
        <v>3</v>
      </c>
      <c r="P19" s="15">
        <f>P18+1</f>
        <v>7</v>
      </c>
      <c r="Q19" s="15">
        <v>11</v>
      </c>
      <c r="R19" s="15"/>
      <c r="S19" s="15"/>
    </row>
    <row r="20" spans="1:19" x14ac:dyDescent="0.15">
      <c r="A20" s="23">
        <v>3</v>
      </c>
      <c r="B20" s="17">
        <f t="shared" si="8"/>
        <v>6</v>
      </c>
      <c r="C20" s="23">
        <f t="shared" si="9"/>
        <v>9</v>
      </c>
      <c r="D20" s="23">
        <f t="shared" si="10"/>
        <v>12</v>
      </c>
      <c r="E20" s="23">
        <v>433.43</v>
      </c>
      <c r="F20" s="23">
        <v>1.38</v>
      </c>
      <c r="G20" s="23">
        <f t="shared" si="0"/>
        <v>314.07971014492756</v>
      </c>
      <c r="H20" s="15">
        <v>1</v>
      </c>
      <c r="I20" s="15">
        <v>2</v>
      </c>
      <c r="J20" s="22">
        <v>19</v>
      </c>
      <c r="K20" s="15">
        <v>20</v>
      </c>
      <c r="L20" s="15">
        <v>-14.42</v>
      </c>
      <c r="M20" s="15">
        <v>1.21</v>
      </c>
      <c r="N20" s="15">
        <f t="shared" si="1"/>
        <v>-11.917355371900827</v>
      </c>
      <c r="O20" s="15">
        <v>3</v>
      </c>
      <c r="P20" s="15">
        <f>P19+1</f>
        <v>8</v>
      </c>
      <c r="Q20" s="15">
        <f>Q19+2</f>
        <v>13</v>
      </c>
      <c r="R20" s="15"/>
      <c r="S20" s="15"/>
    </row>
    <row r="21" spans="1:19" x14ac:dyDescent="0.15">
      <c r="A21" s="23">
        <v>3</v>
      </c>
      <c r="B21" s="17">
        <f t="shared" si="8"/>
        <v>7</v>
      </c>
      <c r="C21" s="23">
        <f t="shared" si="9"/>
        <v>11</v>
      </c>
      <c r="D21" s="23">
        <f t="shared" si="10"/>
        <v>15</v>
      </c>
      <c r="E21" s="23">
        <v>536.21</v>
      </c>
      <c r="F21" s="23">
        <v>1.52</v>
      </c>
      <c r="G21" s="23">
        <f t="shared" si="0"/>
        <v>352.76973684210526</v>
      </c>
      <c r="H21" s="15">
        <v>1</v>
      </c>
      <c r="I21" s="15">
        <v>2</v>
      </c>
      <c r="J21" s="22">
        <v>20</v>
      </c>
      <c r="K21" s="15">
        <v>21</v>
      </c>
      <c r="L21" s="15">
        <v>-25.18</v>
      </c>
      <c r="M21" s="15">
        <v>1.23</v>
      </c>
      <c r="N21" s="15">
        <f t="shared" si="1"/>
        <v>-20.471544715447155</v>
      </c>
      <c r="O21" s="15">
        <v>3</v>
      </c>
      <c r="P21" s="15">
        <f>P20+1</f>
        <v>9</v>
      </c>
      <c r="Q21" s="15">
        <f>Q20+2</f>
        <v>15</v>
      </c>
      <c r="R21" s="15"/>
      <c r="S21" s="15"/>
    </row>
    <row r="22" spans="1:19" x14ac:dyDescent="0.15">
      <c r="A22" s="23">
        <v>3</v>
      </c>
      <c r="B22" s="17">
        <f t="shared" si="8"/>
        <v>8</v>
      </c>
      <c r="C22" s="23">
        <f t="shared" si="9"/>
        <v>13</v>
      </c>
      <c r="D22" s="23">
        <f t="shared" si="10"/>
        <v>18</v>
      </c>
      <c r="E22" s="23">
        <v>366.51</v>
      </c>
      <c r="F22" s="23">
        <v>1.41</v>
      </c>
      <c r="G22" s="23">
        <f t="shared" si="0"/>
        <v>259.93617021276594</v>
      </c>
      <c r="H22" s="15">
        <v>1</v>
      </c>
      <c r="I22" s="15">
        <v>2</v>
      </c>
      <c r="J22" s="22">
        <v>21</v>
      </c>
      <c r="K22" s="15">
        <v>22</v>
      </c>
      <c r="L22" s="15">
        <v>-52.26</v>
      </c>
      <c r="M22" s="15">
        <v>1.2</v>
      </c>
      <c r="N22" s="15">
        <f t="shared" si="1"/>
        <v>-43.55</v>
      </c>
      <c r="O22" s="15">
        <v>4</v>
      </c>
      <c r="P22" s="15">
        <v>5</v>
      </c>
      <c r="Q22" s="15">
        <v>6</v>
      </c>
      <c r="R22" s="15"/>
      <c r="S22" s="15"/>
    </row>
    <row r="23" spans="1:19" x14ac:dyDescent="0.15">
      <c r="A23" s="23">
        <v>3</v>
      </c>
      <c r="B23" s="17">
        <f t="shared" si="8"/>
        <v>9</v>
      </c>
      <c r="C23" s="23">
        <f t="shared" si="9"/>
        <v>15</v>
      </c>
      <c r="D23" s="23">
        <f t="shared" si="10"/>
        <v>21</v>
      </c>
      <c r="E23" s="23">
        <v>227.71</v>
      </c>
      <c r="F23" s="23">
        <v>1.31</v>
      </c>
      <c r="G23" s="23">
        <f t="shared" si="0"/>
        <v>173.82442748091603</v>
      </c>
      <c r="H23" s="15">
        <v>1</v>
      </c>
      <c r="I23" s="15">
        <v>2</v>
      </c>
      <c r="J23" s="22">
        <v>22</v>
      </c>
      <c r="K23" s="15">
        <v>23</v>
      </c>
      <c r="L23" s="15">
        <v>-139.65</v>
      </c>
      <c r="M23" s="15">
        <v>1.21</v>
      </c>
      <c r="N23" s="15">
        <f t="shared" si="1"/>
        <v>-115.41322314049587</v>
      </c>
      <c r="O23" s="15">
        <v>4</v>
      </c>
      <c r="P23" s="15">
        <f>P22+1</f>
        <v>6</v>
      </c>
      <c r="Q23" s="15">
        <f>Q22+2</f>
        <v>8</v>
      </c>
      <c r="R23" s="15"/>
      <c r="S23" s="15"/>
    </row>
    <row r="24" spans="1:19" x14ac:dyDescent="0.15">
      <c r="A24" s="23">
        <v>3</v>
      </c>
      <c r="B24" s="17">
        <f t="shared" si="8"/>
        <v>10</v>
      </c>
      <c r="C24" s="23">
        <f t="shared" si="9"/>
        <v>17</v>
      </c>
      <c r="D24" s="23">
        <f t="shared" si="10"/>
        <v>24</v>
      </c>
      <c r="E24" s="23">
        <v>138.25</v>
      </c>
      <c r="F24" s="23">
        <v>1.41</v>
      </c>
      <c r="G24" s="23">
        <f t="shared" si="0"/>
        <v>98.049645390070921</v>
      </c>
      <c r="H24" s="15">
        <v>1</v>
      </c>
      <c r="I24" s="15">
        <v>2</v>
      </c>
      <c r="J24" s="22">
        <v>23</v>
      </c>
      <c r="K24" s="15">
        <v>24</v>
      </c>
      <c r="L24" s="15">
        <v>-545.49</v>
      </c>
      <c r="M24" s="15">
        <v>1.22</v>
      </c>
      <c r="N24" s="15">
        <f t="shared" si="1"/>
        <v>-447.12295081967216</v>
      </c>
      <c r="O24" s="15">
        <v>4</v>
      </c>
      <c r="P24" s="15">
        <f>P23+1</f>
        <v>7</v>
      </c>
      <c r="Q24" s="15">
        <f>Q23+2</f>
        <v>10</v>
      </c>
      <c r="R24" s="15"/>
      <c r="S24" s="15"/>
    </row>
    <row r="25" spans="1:19" x14ac:dyDescent="0.15">
      <c r="A25" s="23">
        <v>4</v>
      </c>
      <c r="B25" s="17">
        <f>A25+1</f>
        <v>5</v>
      </c>
      <c r="C25" s="23">
        <f>B25+1</f>
        <v>6</v>
      </c>
      <c r="D25" s="23">
        <f>C25+1</f>
        <v>7</v>
      </c>
      <c r="E25" s="23">
        <v>1391.49</v>
      </c>
      <c r="F25" s="23">
        <v>1.17</v>
      </c>
      <c r="G25" s="23">
        <f t="shared" si="0"/>
        <v>1189.3076923076924</v>
      </c>
      <c r="H25" s="15">
        <v>2</v>
      </c>
      <c r="I25" s="15">
        <v>3</v>
      </c>
      <c r="J25" s="22">
        <v>4</v>
      </c>
      <c r="K25" s="15">
        <v>5</v>
      </c>
      <c r="L25" s="15">
        <v>-495.19</v>
      </c>
      <c r="M25" s="15">
        <v>1.28</v>
      </c>
      <c r="N25" s="15">
        <f t="shared" si="1"/>
        <v>-386.8671875</v>
      </c>
      <c r="O25" s="15">
        <v>4</v>
      </c>
      <c r="P25" s="15">
        <f>P24+1</f>
        <v>8</v>
      </c>
      <c r="Q25" s="15">
        <f>Q24+2</f>
        <v>12</v>
      </c>
      <c r="R25" s="15"/>
      <c r="S25" s="15"/>
    </row>
    <row r="26" spans="1:19" x14ac:dyDescent="0.15">
      <c r="A26" s="23">
        <v>4</v>
      </c>
      <c r="B26" s="17">
        <f t="shared" ref="B26:B31" si="11">B25+1</f>
        <v>6</v>
      </c>
      <c r="C26" s="23">
        <f t="shared" ref="C26:C31" si="12">C25+2</f>
        <v>8</v>
      </c>
      <c r="D26" s="23">
        <f>D25+3</f>
        <v>10</v>
      </c>
      <c r="E26" s="23">
        <v>709.56</v>
      </c>
      <c r="F26" s="23">
        <v>1.05</v>
      </c>
      <c r="G26" s="23">
        <f t="shared" si="0"/>
        <v>675.77142857142849</v>
      </c>
      <c r="H26" s="15">
        <v>2</v>
      </c>
      <c r="I26" s="15">
        <v>3</v>
      </c>
      <c r="J26" s="22">
        <v>5</v>
      </c>
      <c r="K26" s="15">
        <v>6</v>
      </c>
      <c r="L26" s="15">
        <v>-128.97</v>
      </c>
      <c r="M26" s="15">
        <v>1.3</v>
      </c>
      <c r="N26" s="15">
        <f t="shared" si="1"/>
        <v>-99.207692307692298</v>
      </c>
      <c r="O26" s="15">
        <v>4</v>
      </c>
      <c r="P26" s="15">
        <f>P25+1</f>
        <v>9</v>
      </c>
      <c r="Q26" s="15">
        <f>Q25+2</f>
        <v>14</v>
      </c>
      <c r="R26" s="15"/>
      <c r="S26" s="15"/>
    </row>
    <row r="27" spans="1:19" x14ac:dyDescent="0.15">
      <c r="A27" s="23">
        <v>4</v>
      </c>
      <c r="B27" s="17">
        <f t="shared" si="11"/>
        <v>7</v>
      </c>
      <c r="C27" s="23">
        <f t="shared" si="12"/>
        <v>10</v>
      </c>
      <c r="D27" s="23">
        <f>D26+3</f>
        <v>13</v>
      </c>
      <c r="E27" s="23">
        <v>649.85</v>
      </c>
      <c r="F27" s="23">
        <v>1.36</v>
      </c>
      <c r="G27" s="23">
        <f t="shared" si="0"/>
        <v>477.83088235294116</v>
      </c>
      <c r="H27" s="15">
        <v>2</v>
      </c>
      <c r="I27" s="15">
        <v>3</v>
      </c>
      <c r="J27" s="22">
        <v>6</v>
      </c>
      <c r="K27" s="15">
        <v>7</v>
      </c>
      <c r="L27" s="15">
        <v>-57.58</v>
      </c>
      <c r="M27" s="15">
        <v>1.28</v>
      </c>
      <c r="N27" s="15">
        <f t="shared" si="1"/>
        <v>-44.984375</v>
      </c>
      <c r="O27" s="15">
        <v>4</v>
      </c>
      <c r="P27" s="15">
        <f>P26+1</f>
        <v>10</v>
      </c>
      <c r="Q27" s="15">
        <f>Q26+2</f>
        <v>16</v>
      </c>
      <c r="R27" s="15"/>
      <c r="S27" s="15"/>
    </row>
    <row r="28" spans="1:19" x14ac:dyDescent="0.15">
      <c r="A28" s="23">
        <v>4</v>
      </c>
      <c r="B28" s="17">
        <f t="shared" si="11"/>
        <v>8</v>
      </c>
      <c r="C28" s="23">
        <f t="shared" si="12"/>
        <v>12</v>
      </c>
      <c r="D28" s="23">
        <f>D27+3</f>
        <v>16</v>
      </c>
      <c r="E28" s="23">
        <v>426.25</v>
      </c>
      <c r="F28" s="23">
        <v>1.24</v>
      </c>
      <c r="G28" s="23">
        <f t="shared" si="0"/>
        <v>343.75</v>
      </c>
      <c r="H28" s="15">
        <v>2</v>
      </c>
      <c r="I28" s="15">
        <v>3</v>
      </c>
      <c r="J28" s="22">
        <v>7</v>
      </c>
      <c r="K28" s="15">
        <v>8</v>
      </c>
      <c r="L28" s="15">
        <v>-31.39</v>
      </c>
      <c r="M28" s="15">
        <v>1.3</v>
      </c>
      <c r="N28" s="15">
        <f t="shared" si="1"/>
        <v>-24.146153846153847</v>
      </c>
      <c r="O28" s="15">
        <v>5</v>
      </c>
      <c r="P28" s="15">
        <v>6</v>
      </c>
      <c r="Q28" s="15">
        <v>7</v>
      </c>
      <c r="R28" s="15"/>
      <c r="S28" s="15"/>
    </row>
    <row r="29" spans="1:19" x14ac:dyDescent="0.15">
      <c r="A29" s="23">
        <v>4</v>
      </c>
      <c r="B29" s="17">
        <f t="shared" si="11"/>
        <v>9</v>
      </c>
      <c r="C29" s="23">
        <f t="shared" si="12"/>
        <v>14</v>
      </c>
      <c r="D29" s="23">
        <f>D28+3</f>
        <v>19</v>
      </c>
      <c r="E29" s="23">
        <v>331.23</v>
      </c>
      <c r="F29" s="23">
        <v>1.31</v>
      </c>
      <c r="G29" s="23">
        <f t="shared" si="0"/>
        <v>252.84732824427482</v>
      </c>
      <c r="H29" s="15">
        <v>2</v>
      </c>
      <c r="I29" s="15">
        <v>3</v>
      </c>
      <c r="J29" s="22">
        <v>8</v>
      </c>
      <c r="K29" s="15">
        <v>9</v>
      </c>
      <c r="L29" s="15">
        <v>-17.940000000000001</v>
      </c>
      <c r="M29" s="15">
        <v>1.26</v>
      </c>
      <c r="N29" s="15">
        <f t="shared" si="1"/>
        <v>-14.238095238095239</v>
      </c>
      <c r="O29" s="15">
        <v>5</v>
      </c>
      <c r="P29" s="15">
        <f>P28+1</f>
        <v>7</v>
      </c>
      <c r="Q29" s="15">
        <f>Q28+2</f>
        <v>9</v>
      </c>
      <c r="R29" s="15"/>
      <c r="S29" s="15"/>
    </row>
    <row r="30" spans="1:19" x14ac:dyDescent="0.15">
      <c r="A30" s="23">
        <v>4</v>
      </c>
      <c r="B30" s="17">
        <f t="shared" si="11"/>
        <v>10</v>
      </c>
      <c r="C30" s="23">
        <f t="shared" si="12"/>
        <v>16</v>
      </c>
      <c r="D30" s="23">
        <f>D29+3</f>
        <v>22</v>
      </c>
      <c r="E30" s="23">
        <v>211.13</v>
      </c>
      <c r="F30" s="23">
        <v>1.1599999999999999</v>
      </c>
      <c r="G30" s="23">
        <f t="shared" si="0"/>
        <v>182.00862068965517</v>
      </c>
      <c r="H30" s="15">
        <v>2</v>
      </c>
      <c r="I30" s="15">
        <v>3</v>
      </c>
      <c r="J30" s="22">
        <v>9</v>
      </c>
      <c r="K30" s="15">
        <v>10</v>
      </c>
      <c r="L30" s="15">
        <v>-11.95</v>
      </c>
      <c r="M30" s="15">
        <v>1.24</v>
      </c>
      <c r="N30" s="15">
        <f t="shared" si="1"/>
        <v>-9.637096774193548</v>
      </c>
      <c r="O30" s="15">
        <v>5</v>
      </c>
      <c r="P30" s="15">
        <f>P29+1</f>
        <v>8</v>
      </c>
      <c r="Q30" s="15">
        <f>Q29+2</f>
        <v>11</v>
      </c>
      <c r="R30" s="15"/>
      <c r="S30" s="15"/>
    </row>
    <row r="31" spans="1:19" x14ac:dyDescent="0.15">
      <c r="A31" s="23">
        <v>4</v>
      </c>
      <c r="B31" s="17">
        <f t="shared" si="11"/>
        <v>11</v>
      </c>
      <c r="C31" s="23">
        <f t="shared" si="12"/>
        <v>18</v>
      </c>
      <c r="D31" s="23">
        <v>1</v>
      </c>
      <c r="E31" s="23">
        <v>159.11000000000001</v>
      </c>
      <c r="F31" s="23">
        <v>1.27</v>
      </c>
      <c r="G31" s="23">
        <f t="shared" si="0"/>
        <v>125.28346456692914</v>
      </c>
      <c r="H31" s="15">
        <v>2</v>
      </c>
      <c r="I31" s="15">
        <v>3</v>
      </c>
      <c r="J31" s="22">
        <v>10</v>
      </c>
      <c r="K31" s="15">
        <v>11</v>
      </c>
      <c r="L31" s="15">
        <v>-10.119999999999999</v>
      </c>
      <c r="M31" s="15">
        <v>1.28</v>
      </c>
      <c r="N31" s="15">
        <f t="shared" si="1"/>
        <v>-7.9062499999999991</v>
      </c>
      <c r="O31" s="15">
        <v>5</v>
      </c>
      <c r="P31" s="15">
        <f>P30+1</f>
        <v>9</v>
      </c>
      <c r="Q31" s="15">
        <f>Q30+2</f>
        <v>13</v>
      </c>
      <c r="R31" s="15"/>
      <c r="S31" s="15"/>
    </row>
    <row r="32" spans="1:19" x14ac:dyDescent="0.15">
      <c r="A32" s="23">
        <v>5</v>
      </c>
      <c r="B32" s="17">
        <f>A32+1</f>
        <v>6</v>
      </c>
      <c r="C32" s="23">
        <f>B32+1</f>
        <v>7</v>
      </c>
      <c r="D32" s="23">
        <f>C32+1</f>
        <v>8</v>
      </c>
      <c r="E32" s="23">
        <v>1723.24</v>
      </c>
      <c r="F32" s="23">
        <v>1.34</v>
      </c>
      <c r="G32" s="23">
        <f t="shared" si="0"/>
        <v>1286</v>
      </c>
      <c r="H32" s="15">
        <v>2</v>
      </c>
      <c r="I32" s="15">
        <v>3</v>
      </c>
      <c r="J32" s="22">
        <v>11</v>
      </c>
      <c r="K32" s="15">
        <v>12</v>
      </c>
      <c r="L32" s="15">
        <v>-7.04</v>
      </c>
      <c r="M32" s="15">
        <v>1.26</v>
      </c>
      <c r="N32" s="15">
        <f t="shared" si="1"/>
        <v>-5.587301587301587</v>
      </c>
      <c r="O32" s="15">
        <v>5</v>
      </c>
      <c r="P32" s="15">
        <f>P31+1</f>
        <v>10</v>
      </c>
      <c r="Q32" s="15">
        <f>Q31+2</f>
        <v>15</v>
      </c>
      <c r="R32" s="15"/>
      <c r="S32" s="15"/>
    </row>
    <row r="33" spans="1:19" x14ac:dyDescent="0.15">
      <c r="A33" s="23">
        <v>5</v>
      </c>
      <c r="B33" s="17">
        <f t="shared" ref="B33:B38" si="13">B32+1</f>
        <v>7</v>
      </c>
      <c r="C33" s="23">
        <f t="shared" ref="C33:C38" si="14">C32+2</f>
        <v>9</v>
      </c>
      <c r="D33" s="23">
        <f>D32+3</f>
        <v>11</v>
      </c>
      <c r="E33" s="23">
        <v>871.2</v>
      </c>
      <c r="F33" s="23">
        <v>1.28</v>
      </c>
      <c r="G33" s="23">
        <f t="shared" si="0"/>
        <v>680.625</v>
      </c>
      <c r="H33" s="15">
        <v>2</v>
      </c>
      <c r="I33" s="15">
        <v>3</v>
      </c>
      <c r="J33" s="22">
        <v>12</v>
      </c>
      <c r="K33" s="15">
        <v>13</v>
      </c>
      <c r="L33" s="15">
        <v>-6.56</v>
      </c>
      <c r="M33" s="15">
        <v>1.1599999999999999</v>
      </c>
      <c r="N33" s="15">
        <f t="shared" si="1"/>
        <v>-5.6551724137931032</v>
      </c>
      <c r="O33" s="15">
        <v>5</v>
      </c>
      <c r="P33" s="15">
        <f>P32+1</f>
        <v>11</v>
      </c>
      <c r="Q33" s="15">
        <f>Q32+2</f>
        <v>17</v>
      </c>
      <c r="R33" s="15"/>
      <c r="S33" s="15"/>
    </row>
    <row r="34" spans="1:19" x14ac:dyDescent="0.15">
      <c r="A34" s="23">
        <v>5</v>
      </c>
      <c r="B34" s="17">
        <f t="shared" si="13"/>
        <v>8</v>
      </c>
      <c r="C34" s="23">
        <f t="shared" si="14"/>
        <v>11</v>
      </c>
      <c r="D34" s="23">
        <f>D33+3</f>
        <v>14</v>
      </c>
      <c r="E34" s="23">
        <v>610.48</v>
      </c>
      <c r="F34" s="23">
        <v>1.27</v>
      </c>
      <c r="G34" s="23">
        <f t="shared" si="0"/>
        <v>480.69291338582678</v>
      </c>
      <c r="H34" s="15">
        <v>2</v>
      </c>
      <c r="I34" s="15">
        <v>3</v>
      </c>
      <c r="J34" s="22">
        <v>13</v>
      </c>
      <c r="K34" s="15">
        <v>14</v>
      </c>
      <c r="L34" s="15">
        <v>-4.91</v>
      </c>
      <c r="M34" s="15">
        <v>1.1499999999999999</v>
      </c>
      <c r="N34" s="15">
        <f t="shared" si="1"/>
        <v>-4.269565217391305</v>
      </c>
      <c r="O34" s="15">
        <v>6</v>
      </c>
      <c r="P34" s="15">
        <v>7</v>
      </c>
      <c r="Q34" s="15">
        <v>8</v>
      </c>
      <c r="R34" s="15"/>
      <c r="S34" s="15"/>
    </row>
    <row r="35" spans="1:19" x14ac:dyDescent="0.15">
      <c r="A35" s="23">
        <v>5</v>
      </c>
      <c r="B35" s="17">
        <f t="shared" si="13"/>
        <v>9</v>
      </c>
      <c r="C35" s="23">
        <f t="shared" si="14"/>
        <v>13</v>
      </c>
      <c r="D35" s="23">
        <f>D34+3</f>
        <v>17</v>
      </c>
      <c r="E35" s="23">
        <v>403.37</v>
      </c>
      <c r="F35" s="23">
        <v>1.17</v>
      </c>
      <c r="G35" s="23">
        <f t="shared" si="0"/>
        <v>344.76068376068378</v>
      </c>
      <c r="H35" s="15">
        <v>2</v>
      </c>
      <c r="I35" s="15">
        <v>3</v>
      </c>
      <c r="J35" s="22">
        <v>14</v>
      </c>
      <c r="K35" s="15">
        <v>15</v>
      </c>
      <c r="L35" s="15">
        <v>-6.35</v>
      </c>
      <c r="M35" s="15">
        <v>1.1399999999999999</v>
      </c>
      <c r="N35" s="15">
        <f t="shared" si="1"/>
        <v>-5.5701754385964914</v>
      </c>
      <c r="O35" s="15">
        <v>6</v>
      </c>
      <c r="P35" s="15">
        <f>P34+1</f>
        <v>8</v>
      </c>
      <c r="Q35" s="15">
        <f>Q34+2</f>
        <v>10</v>
      </c>
      <c r="R35" s="15"/>
      <c r="S35" s="15"/>
    </row>
    <row r="36" spans="1:19" x14ac:dyDescent="0.15">
      <c r="A36" s="23">
        <v>5</v>
      </c>
      <c r="B36" s="17">
        <f t="shared" si="13"/>
        <v>10</v>
      </c>
      <c r="C36" s="23">
        <f t="shared" si="14"/>
        <v>15</v>
      </c>
      <c r="D36" s="23">
        <f>D35+3</f>
        <v>20</v>
      </c>
      <c r="E36" s="23">
        <v>325.27999999999997</v>
      </c>
      <c r="F36" s="23">
        <v>1.27</v>
      </c>
      <c r="G36" s="23">
        <f t="shared" ref="G36:G67" si="15">E36/F36</f>
        <v>256.12598425196848</v>
      </c>
      <c r="H36" s="15">
        <v>2</v>
      </c>
      <c r="I36" s="15">
        <v>3</v>
      </c>
      <c r="J36" s="22">
        <v>15</v>
      </c>
      <c r="K36" s="15">
        <v>16</v>
      </c>
      <c r="L36" s="15">
        <v>-5.66</v>
      </c>
      <c r="M36" s="15">
        <v>1.1499999999999999</v>
      </c>
      <c r="N36" s="15">
        <f t="shared" si="1"/>
        <v>-4.9217391304347835</v>
      </c>
      <c r="O36" s="15">
        <v>6</v>
      </c>
      <c r="P36" s="15">
        <f>P35+1</f>
        <v>9</v>
      </c>
      <c r="Q36" s="15">
        <f>Q35+2</f>
        <v>12</v>
      </c>
      <c r="R36" s="15"/>
      <c r="S36" s="15"/>
    </row>
    <row r="37" spans="1:19" x14ac:dyDescent="0.15">
      <c r="A37" s="23">
        <v>5</v>
      </c>
      <c r="B37" s="17">
        <f t="shared" si="13"/>
        <v>11</v>
      </c>
      <c r="C37" s="23">
        <f t="shared" si="14"/>
        <v>17</v>
      </c>
      <c r="D37" s="23">
        <f>D36+3</f>
        <v>23</v>
      </c>
      <c r="E37" s="23">
        <v>290.60000000000002</v>
      </c>
      <c r="F37" s="23">
        <v>1.55</v>
      </c>
      <c r="G37" s="23">
        <f t="shared" si="15"/>
        <v>187.48387096774195</v>
      </c>
      <c r="H37" s="15">
        <v>2</v>
      </c>
      <c r="I37" s="15">
        <v>3</v>
      </c>
      <c r="J37" s="22">
        <v>16</v>
      </c>
      <c r="K37" s="15">
        <v>17</v>
      </c>
      <c r="L37" s="15">
        <v>-9.06</v>
      </c>
      <c r="M37" s="15">
        <v>1.1499999999999999</v>
      </c>
      <c r="N37" s="15">
        <f t="shared" si="1"/>
        <v>-7.8782608695652181</v>
      </c>
      <c r="O37" s="15">
        <v>6</v>
      </c>
      <c r="P37" s="15">
        <f>P36+1</f>
        <v>10</v>
      </c>
      <c r="Q37" s="15">
        <f>Q36+2</f>
        <v>14</v>
      </c>
      <c r="R37" s="15"/>
      <c r="S37" s="15"/>
    </row>
    <row r="38" spans="1:19" x14ac:dyDescent="0.15">
      <c r="A38" s="23">
        <v>5</v>
      </c>
      <c r="B38" s="17">
        <f t="shared" si="13"/>
        <v>12</v>
      </c>
      <c r="C38" s="23">
        <f t="shared" si="14"/>
        <v>19</v>
      </c>
      <c r="D38" s="23">
        <v>2</v>
      </c>
      <c r="E38" s="23">
        <v>132.93</v>
      </c>
      <c r="F38" s="23">
        <v>1.27</v>
      </c>
      <c r="G38" s="23">
        <f t="shared" si="15"/>
        <v>104.66929133858268</v>
      </c>
      <c r="H38" s="15">
        <v>2</v>
      </c>
      <c r="I38" s="15">
        <v>3</v>
      </c>
      <c r="J38" s="22">
        <v>17</v>
      </c>
      <c r="K38" s="15">
        <v>18</v>
      </c>
      <c r="L38" s="15">
        <v>-7.95</v>
      </c>
      <c r="M38" s="15">
        <v>1.34</v>
      </c>
      <c r="N38" s="15">
        <f t="shared" si="1"/>
        <v>-5.9328358208955221</v>
      </c>
      <c r="O38" s="15">
        <v>6</v>
      </c>
      <c r="P38" s="15">
        <f>P37+1</f>
        <v>11</v>
      </c>
      <c r="Q38" s="15">
        <f>Q37+2</f>
        <v>16</v>
      </c>
      <c r="R38" s="15"/>
      <c r="S38" s="15"/>
    </row>
    <row r="39" spans="1:19" x14ac:dyDescent="0.15">
      <c r="A39" s="23">
        <v>6</v>
      </c>
      <c r="B39" s="17">
        <f>A39+1</f>
        <v>7</v>
      </c>
      <c r="C39" s="23">
        <f>B39+1</f>
        <v>8</v>
      </c>
      <c r="D39" s="23">
        <f>C39+1</f>
        <v>9</v>
      </c>
      <c r="E39" s="23">
        <v>1846.47</v>
      </c>
      <c r="F39" s="22">
        <v>1.45</v>
      </c>
      <c r="G39" s="23">
        <f t="shared" si="15"/>
        <v>1273.4275862068966</v>
      </c>
      <c r="H39" s="15">
        <v>2</v>
      </c>
      <c r="I39" s="15">
        <v>3</v>
      </c>
      <c r="J39" s="22">
        <v>18</v>
      </c>
      <c r="K39" s="15">
        <v>19</v>
      </c>
      <c r="L39" s="15">
        <v>-10.49</v>
      </c>
      <c r="M39" s="15">
        <v>1.3</v>
      </c>
      <c r="N39" s="15">
        <f t="shared" si="1"/>
        <v>-8.069230769230769</v>
      </c>
      <c r="O39" s="15">
        <v>6</v>
      </c>
      <c r="P39" s="15">
        <f>P38+1</f>
        <v>12</v>
      </c>
      <c r="Q39" s="15">
        <f>Q38+2</f>
        <v>18</v>
      </c>
      <c r="R39" s="15"/>
      <c r="S39" s="15"/>
    </row>
    <row r="40" spans="1:19" x14ac:dyDescent="0.15">
      <c r="A40" s="23">
        <v>6</v>
      </c>
      <c r="B40" s="17">
        <f t="shared" ref="B40:B45" si="16">B39+1</f>
        <v>8</v>
      </c>
      <c r="C40" s="23">
        <f t="shared" ref="C40:C45" si="17">C39+2</f>
        <v>10</v>
      </c>
      <c r="D40" s="23">
        <f>D39+3</f>
        <v>12</v>
      </c>
      <c r="E40" s="23">
        <v>913.18</v>
      </c>
      <c r="F40" s="23">
        <v>1.37</v>
      </c>
      <c r="G40" s="23">
        <f t="shared" si="15"/>
        <v>666.55474452554733</v>
      </c>
      <c r="H40" s="15">
        <v>2</v>
      </c>
      <c r="I40" s="15">
        <v>3</v>
      </c>
      <c r="J40" s="22">
        <v>19</v>
      </c>
      <c r="K40" s="15">
        <v>20</v>
      </c>
      <c r="L40" s="15">
        <v>-17.53</v>
      </c>
      <c r="M40" s="15">
        <v>1.3</v>
      </c>
      <c r="N40" s="15">
        <f t="shared" si="1"/>
        <v>-13.484615384615385</v>
      </c>
      <c r="O40" s="15">
        <v>7</v>
      </c>
      <c r="P40" s="15">
        <v>8</v>
      </c>
      <c r="Q40" s="15">
        <v>9</v>
      </c>
      <c r="R40" s="15"/>
      <c r="S40" s="15"/>
    </row>
    <row r="41" spans="1:19" x14ac:dyDescent="0.15">
      <c r="A41" s="23">
        <v>6</v>
      </c>
      <c r="B41" s="17">
        <f t="shared" si="16"/>
        <v>9</v>
      </c>
      <c r="C41" s="23">
        <f t="shared" si="17"/>
        <v>12</v>
      </c>
      <c r="D41" s="23">
        <f>D40+3</f>
        <v>15</v>
      </c>
      <c r="E41" s="23">
        <v>729.47</v>
      </c>
      <c r="F41" s="23">
        <v>1.49</v>
      </c>
      <c r="G41" s="23">
        <f t="shared" si="15"/>
        <v>489.57718120805373</v>
      </c>
      <c r="H41" s="15">
        <v>2</v>
      </c>
      <c r="I41" s="15">
        <v>3</v>
      </c>
      <c r="J41" s="22">
        <v>20</v>
      </c>
      <c r="K41" s="15">
        <v>21</v>
      </c>
      <c r="L41" s="15">
        <v>-18.149999999999999</v>
      </c>
      <c r="M41" s="15">
        <v>1.32</v>
      </c>
      <c r="N41" s="15">
        <f t="shared" si="1"/>
        <v>-13.749999999999998</v>
      </c>
      <c r="O41" s="15">
        <v>7</v>
      </c>
      <c r="P41" s="15">
        <f>P40+1</f>
        <v>9</v>
      </c>
      <c r="Q41" s="15">
        <f>Q40+2</f>
        <v>11</v>
      </c>
      <c r="R41" s="15"/>
      <c r="S41" s="15"/>
    </row>
    <row r="42" spans="1:19" x14ac:dyDescent="0.15">
      <c r="A42" s="23">
        <v>6</v>
      </c>
      <c r="B42" s="17">
        <f t="shared" si="16"/>
        <v>10</v>
      </c>
      <c r="C42" s="23">
        <f t="shared" si="17"/>
        <v>14</v>
      </c>
      <c r="D42" s="23">
        <f>D41+3</f>
        <v>18</v>
      </c>
      <c r="E42" s="23">
        <v>480.03</v>
      </c>
      <c r="F42" s="23">
        <v>1.35</v>
      </c>
      <c r="G42" s="23">
        <f t="shared" si="15"/>
        <v>355.57777777777773</v>
      </c>
      <c r="H42" s="15">
        <v>2</v>
      </c>
      <c r="I42" s="15">
        <v>3</v>
      </c>
      <c r="J42" s="22">
        <v>21</v>
      </c>
      <c r="K42" s="15">
        <v>22</v>
      </c>
      <c r="L42" s="15">
        <v>-28.48</v>
      </c>
      <c r="M42" s="15">
        <v>1.26</v>
      </c>
      <c r="N42" s="15">
        <f t="shared" si="1"/>
        <v>-22.603174603174605</v>
      </c>
      <c r="O42" s="15">
        <v>7</v>
      </c>
      <c r="P42" s="15">
        <f>P41+1</f>
        <v>10</v>
      </c>
      <c r="Q42" s="15">
        <f>Q41+2</f>
        <v>13</v>
      </c>
      <c r="R42" s="15"/>
      <c r="S42" s="15"/>
    </row>
    <row r="43" spans="1:19" x14ac:dyDescent="0.15">
      <c r="A43" s="23">
        <v>6</v>
      </c>
      <c r="B43" s="17">
        <f t="shared" si="16"/>
        <v>11</v>
      </c>
      <c r="C43" s="23">
        <f t="shared" si="17"/>
        <v>16</v>
      </c>
      <c r="D43" s="23">
        <f>D42+3</f>
        <v>21</v>
      </c>
      <c r="E43" s="23">
        <v>331.26</v>
      </c>
      <c r="F43" s="23">
        <v>1.29</v>
      </c>
      <c r="G43" s="23">
        <f t="shared" si="15"/>
        <v>256.7906976744186</v>
      </c>
      <c r="H43" s="15">
        <v>2</v>
      </c>
      <c r="I43" s="15">
        <v>3</v>
      </c>
      <c r="J43" s="22">
        <v>22</v>
      </c>
      <c r="K43" s="15">
        <v>23</v>
      </c>
      <c r="L43" s="15">
        <v>-61.48</v>
      </c>
      <c r="M43" s="15">
        <v>1.32</v>
      </c>
      <c r="N43" s="15">
        <f t="shared" si="1"/>
        <v>-46.575757575757571</v>
      </c>
      <c r="O43" s="15">
        <v>7</v>
      </c>
      <c r="P43" s="15">
        <f>P42+1</f>
        <v>11</v>
      </c>
      <c r="Q43" s="15">
        <f>Q42+2</f>
        <v>15</v>
      </c>
      <c r="R43" s="15"/>
      <c r="S43" s="15"/>
    </row>
    <row r="44" spans="1:19" x14ac:dyDescent="0.15">
      <c r="A44" s="23">
        <v>6</v>
      </c>
      <c r="B44" s="17">
        <f t="shared" si="16"/>
        <v>12</v>
      </c>
      <c r="C44" s="23">
        <f t="shared" si="17"/>
        <v>18</v>
      </c>
      <c r="D44" s="23">
        <f>D43+3</f>
        <v>24</v>
      </c>
      <c r="E44" s="23">
        <v>261.10000000000002</v>
      </c>
      <c r="F44" s="23">
        <v>1.39</v>
      </c>
      <c r="G44" s="23">
        <f t="shared" si="15"/>
        <v>187.84172661870505</v>
      </c>
      <c r="H44" s="15">
        <v>2</v>
      </c>
      <c r="I44" s="15">
        <v>3</v>
      </c>
      <c r="J44" s="22">
        <v>23</v>
      </c>
      <c r="K44" s="15">
        <v>24</v>
      </c>
      <c r="L44" s="15">
        <v>-147.63</v>
      </c>
      <c r="M44" s="15">
        <v>1.26</v>
      </c>
      <c r="N44" s="15">
        <f t="shared" si="1"/>
        <v>-117.16666666666666</v>
      </c>
      <c r="O44" s="15">
        <v>7</v>
      </c>
      <c r="P44" s="15">
        <f>P43+1</f>
        <v>12</v>
      </c>
      <c r="Q44" s="15">
        <f>Q43+2</f>
        <v>17</v>
      </c>
      <c r="R44" s="15"/>
      <c r="S44" s="15"/>
    </row>
    <row r="45" spans="1:19" x14ac:dyDescent="0.15">
      <c r="A45" s="23">
        <v>6</v>
      </c>
      <c r="B45" s="17">
        <f t="shared" si="16"/>
        <v>13</v>
      </c>
      <c r="C45" s="23">
        <f t="shared" si="17"/>
        <v>20</v>
      </c>
      <c r="D45" s="23">
        <v>3</v>
      </c>
      <c r="E45" s="23">
        <v>142.58000000000001</v>
      </c>
      <c r="F45" s="23">
        <v>1.37</v>
      </c>
      <c r="G45" s="23">
        <f t="shared" si="15"/>
        <v>104.07299270072993</v>
      </c>
      <c r="H45" s="15">
        <v>2</v>
      </c>
      <c r="I45" s="15">
        <v>3</v>
      </c>
      <c r="J45" s="22">
        <v>24</v>
      </c>
      <c r="K45" s="15">
        <v>1</v>
      </c>
      <c r="L45" s="15">
        <v>-487.13</v>
      </c>
      <c r="M45" s="15">
        <v>1.27</v>
      </c>
      <c r="N45" s="15">
        <f t="shared" si="1"/>
        <v>-383.56692913385825</v>
      </c>
      <c r="O45" s="15">
        <v>7</v>
      </c>
      <c r="P45" s="15">
        <f>P44+1</f>
        <v>13</v>
      </c>
      <c r="Q45" s="15">
        <f>Q44+2</f>
        <v>19</v>
      </c>
      <c r="R45" s="15"/>
      <c r="S45" s="15"/>
    </row>
    <row r="46" spans="1:19" x14ac:dyDescent="0.15">
      <c r="A46" s="23">
        <v>7</v>
      </c>
      <c r="B46" s="17">
        <f>A46+1</f>
        <v>8</v>
      </c>
      <c r="C46" s="23">
        <f>B46+1</f>
        <v>9</v>
      </c>
      <c r="D46" s="23">
        <f>C46+1</f>
        <v>10</v>
      </c>
      <c r="E46" s="23">
        <v>1397.25</v>
      </c>
      <c r="F46" s="23">
        <v>1.1499999999999999</v>
      </c>
      <c r="G46" s="23">
        <f t="shared" si="15"/>
        <v>1215</v>
      </c>
      <c r="H46" s="15">
        <v>3</v>
      </c>
      <c r="I46" s="15">
        <v>4</v>
      </c>
      <c r="J46" s="15">
        <v>5</v>
      </c>
      <c r="K46" s="15">
        <v>6</v>
      </c>
      <c r="L46" s="15">
        <v>-499.7</v>
      </c>
      <c r="M46" s="15">
        <v>1.32</v>
      </c>
      <c r="N46" s="15">
        <f t="shared" si="1"/>
        <v>-378.56060606060606</v>
      </c>
      <c r="O46" s="15">
        <v>8</v>
      </c>
      <c r="P46" s="15">
        <v>9</v>
      </c>
      <c r="Q46" s="15">
        <v>10</v>
      </c>
      <c r="R46" s="15"/>
      <c r="S46" s="15"/>
    </row>
    <row r="47" spans="1:19" x14ac:dyDescent="0.15">
      <c r="A47" s="23">
        <v>7</v>
      </c>
      <c r="B47" s="17">
        <f t="shared" ref="B47:B52" si="18">B46+1</f>
        <v>9</v>
      </c>
      <c r="C47" s="23">
        <f t="shared" ref="C47:C52" si="19">C46+2</f>
        <v>11</v>
      </c>
      <c r="D47" s="23">
        <f>D46+3</f>
        <v>13</v>
      </c>
      <c r="E47" s="23">
        <v>985.57</v>
      </c>
      <c r="F47" s="23">
        <v>1.46</v>
      </c>
      <c r="G47" s="23">
        <f t="shared" si="15"/>
        <v>675.04794520547955</v>
      </c>
      <c r="H47" s="15">
        <v>3</v>
      </c>
      <c r="I47" s="15">
        <v>4</v>
      </c>
      <c r="J47" s="15">
        <v>6</v>
      </c>
      <c r="K47" s="15">
        <v>7</v>
      </c>
      <c r="L47" s="15">
        <v>-140.80000000000001</v>
      </c>
      <c r="M47" s="15">
        <v>1.32</v>
      </c>
      <c r="N47" s="15">
        <f t="shared" si="1"/>
        <v>-106.66666666666667</v>
      </c>
      <c r="O47" s="15">
        <v>8</v>
      </c>
      <c r="P47" s="15">
        <f>P46+1</f>
        <v>10</v>
      </c>
      <c r="Q47" s="15">
        <f>Q46+2</f>
        <v>12</v>
      </c>
      <c r="R47" s="15"/>
      <c r="S47" s="15"/>
    </row>
    <row r="48" spans="1:19" x14ac:dyDescent="0.15">
      <c r="A48" s="23">
        <v>7</v>
      </c>
      <c r="B48" s="17">
        <f t="shared" si="18"/>
        <v>10</v>
      </c>
      <c r="C48" s="23">
        <f t="shared" si="19"/>
        <v>13</v>
      </c>
      <c r="D48" s="23">
        <f>D47+3</f>
        <v>16</v>
      </c>
      <c r="E48" s="23">
        <v>633.73</v>
      </c>
      <c r="F48" s="23">
        <v>1.33</v>
      </c>
      <c r="G48" s="23">
        <f t="shared" si="15"/>
        <v>476.48872180451127</v>
      </c>
      <c r="H48" s="15">
        <v>3</v>
      </c>
      <c r="I48" s="15">
        <v>4</v>
      </c>
      <c r="J48" s="15">
        <v>7</v>
      </c>
      <c r="K48" s="15">
        <v>8</v>
      </c>
      <c r="L48" s="15">
        <v>-58.48</v>
      </c>
      <c r="M48" s="15">
        <v>1.31</v>
      </c>
      <c r="N48" s="15">
        <f t="shared" si="1"/>
        <v>-44.641221374045799</v>
      </c>
      <c r="O48" s="15">
        <v>8</v>
      </c>
      <c r="P48" s="15">
        <f>P47+1</f>
        <v>11</v>
      </c>
      <c r="Q48" s="15">
        <f>Q47+2</f>
        <v>14</v>
      </c>
      <c r="R48" s="15"/>
      <c r="S48" s="15"/>
    </row>
    <row r="49" spans="1:19" x14ac:dyDescent="0.15">
      <c r="A49" s="23">
        <v>7</v>
      </c>
      <c r="B49" s="17">
        <f t="shared" si="18"/>
        <v>11</v>
      </c>
      <c r="C49" s="23">
        <f t="shared" si="19"/>
        <v>15</v>
      </c>
      <c r="D49" s="23">
        <f>D48+3</f>
        <v>19</v>
      </c>
      <c r="E49" s="23">
        <v>472.44</v>
      </c>
      <c r="F49" s="23">
        <v>1.39</v>
      </c>
      <c r="G49" s="23">
        <f t="shared" si="15"/>
        <v>339.88489208633098</v>
      </c>
      <c r="H49" s="15">
        <v>3</v>
      </c>
      <c r="I49" s="15">
        <v>4</v>
      </c>
      <c r="J49" s="15">
        <v>8</v>
      </c>
      <c r="K49" s="15">
        <v>9</v>
      </c>
      <c r="L49" s="15">
        <v>-29.81</v>
      </c>
      <c r="M49" s="15">
        <v>1.33</v>
      </c>
      <c r="N49" s="15">
        <f t="shared" si="1"/>
        <v>-22.413533834586463</v>
      </c>
      <c r="O49" s="15">
        <v>8</v>
      </c>
      <c r="P49" s="15">
        <f>P48+1</f>
        <v>12</v>
      </c>
      <c r="Q49" s="15">
        <f>Q48+2</f>
        <v>16</v>
      </c>
      <c r="R49" s="15"/>
      <c r="S49" s="15"/>
    </row>
    <row r="50" spans="1:19" x14ac:dyDescent="0.15">
      <c r="A50" s="23">
        <v>7</v>
      </c>
      <c r="B50" s="17">
        <f t="shared" si="18"/>
        <v>12</v>
      </c>
      <c r="C50" s="23">
        <f t="shared" si="19"/>
        <v>17</v>
      </c>
      <c r="D50" s="23">
        <f>D49+3</f>
        <v>22</v>
      </c>
      <c r="E50" s="23">
        <v>319.81</v>
      </c>
      <c r="F50" s="23">
        <v>1.25</v>
      </c>
      <c r="G50" s="23">
        <f t="shared" si="15"/>
        <v>255.84800000000001</v>
      </c>
      <c r="H50" s="15">
        <v>3</v>
      </c>
      <c r="I50" s="15">
        <v>4</v>
      </c>
      <c r="J50" s="15">
        <v>9</v>
      </c>
      <c r="K50" s="15">
        <v>10</v>
      </c>
      <c r="L50" s="15">
        <v>-18.850000000000001</v>
      </c>
      <c r="M50" s="15">
        <v>1.31</v>
      </c>
      <c r="N50" s="15">
        <f t="shared" si="1"/>
        <v>-14.389312977099237</v>
      </c>
      <c r="O50" s="15">
        <v>8</v>
      </c>
      <c r="P50" s="15">
        <f>P49+1</f>
        <v>13</v>
      </c>
      <c r="Q50" s="15">
        <f>Q49+2</f>
        <v>18</v>
      </c>
      <c r="R50" s="15"/>
      <c r="S50" s="15"/>
    </row>
    <row r="51" spans="1:19" x14ac:dyDescent="0.15">
      <c r="A51" s="23">
        <v>7</v>
      </c>
      <c r="B51" s="17">
        <f t="shared" si="18"/>
        <v>13</v>
      </c>
      <c r="C51" s="23">
        <f t="shared" si="19"/>
        <v>19</v>
      </c>
      <c r="D51" s="23">
        <v>1</v>
      </c>
      <c r="E51" s="23">
        <v>267.86</v>
      </c>
      <c r="F51" s="23">
        <v>1.36</v>
      </c>
      <c r="G51" s="23">
        <f t="shared" si="15"/>
        <v>196.95588235294116</v>
      </c>
      <c r="H51" s="15">
        <v>3</v>
      </c>
      <c r="I51" s="15">
        <v>4</v>
      </c>
      <c r="J51" s="15">
        <v>10</v>
      </c>
      <c r="K51" s="15">
        <v>11</v>
      </c>
      <c r="L51" s="15">
        <v>-11.77</v>
      </c>
      <c r="M51" s="15">
        <v>1.32</v>
      </c>
      <c r="N51" s="15">
        <f t="shared" si="1"/>
        <v>-8.9166666666666661</v>
      </c>
      <c r="O51" s="15">
        <v>8</v>
      </c>
      <c r="P51" s="15">
        <f>P50+1</f>
        <v>14</v>
      </c>
      <c r="Q51" s="15">
        <f>Q50+2</f>
        <v>20</v>
      </c>
      <c r="R51" s="15"/>
      <c r="S51" s="15"/>
    </row>
    <row r="52" spans="1:19" x14ac:dyDescent="0.15">
      <c r="A52" s="23">
        <v>7</v>
      </c>
      <c r="B52" s="17">
        <f t="shared" si="18"/>
        <v>14</v>
      </c>
      <c r="C52" s="23">
        <f t="shared" si="19"/>
        <v>21</v>
      </c>
      <c r="D52" s="23">
        <f>D51+3</f>
        <v>4</v>
      </c>
      <c r="E52" s="23">
        <v>125.01</v>
      </c>
      <c r="F52" s="23">
        <v>1.2</v>
      </c>
      <c r="G52" s="23">
        <f t="shared" si="15"/>
        <v>104.17500000000001</v>
      </c>
      <c r="H52" s="15">
        <v>3</v>
      </c>
      <c r="I52" s="15">
        <v>4</v>
      </c>
      <c r="J52" s="15">
        <v>11</v>
      </c>
      <c r="K52" s="15">
        <v>12</v>
      </c>
      <c r="L52" s="15">
        <v>-8.56</v>
      </c>
      <c r="M52" s="15">
        <v>1.32</v>
      </c>
      <c r="N52" s="15">
        <f t="shared" si="1"/>
        <v>-6.4848484848484853</v>
      </c>
      <c r="O52" s="15">
        <v>9</v>
      </c>
      <c r="P52" s="15">
        <v>10</v>
      </c>
      <c r="Q52" s="15">
        <v>11</v>
      </c>
      <c r="R52" s="15"/>
      <c r="S52" s="15"/>
    </row>
    <row r="53" spans="1:19" x14ac:dyDescent="0.15">
      <c r="A53" s="23">
        <v>8</v>
      </c>
      <c r="B53" s="17">
        <f>A53+1</f>
        <v>9</v>
      </c>
      <c r="C53" s="23">
        <f>B53+1</f>
        <v>10</v>
      </c>
      <c r="D53" s="23">
        <f>C53+1</f>
        <v>11</v>
      </c>
      <c r="E53" s="23">
        <v>1633.89</v>
      </c>
      <c r="F53" s="23">
        <v>1.26</v>
      </c>
      <c r="G53" s="23">
        <f t="shared" si="15"/>
        <v>1296.7380952380954</v>
      </c>
      <c r="H53" s="15">
        <v>3</v>
      </c>
      <c r="I53" s="15">
        <v>4</v>
      </c>
      <c r="J53" s="15">
        <v>12</v>
      </c>
      <c r="K53" s="15">
        <v>13</v>
      </c>
      <c r="L53" s="15">
        <v>-7.72</v>
      </c>
      <c r="M53" s="15">
        <v>1.29</v>
      </c>
      <c r="N53" s="15">
        <f t="shared" si="1"/>
        <v>-5.9844961240310077</v>
      </c>
      <c r="O53" s="15">
        <v>9</v>
      </c>
      <c r="P53" s="15">
        <f>P52+1</f>
        <v>11</v>
      </c>
      <c r="Q53" s="15">
        <f>Q52+2</f>
        <v>13</v>
      </c>
      <c r="R53" s="15"/>
      <c r="S53" s="15"/>
    </row>
    <row r="54" spans="1:19" x14ac:dyDescent="0.15">
      <c r="A54" s="23">
        <v>8</v>
      </c>
      <c r="B54" s="17">
        <f t="shared" ref="B54:B59" si="20">B53+1</f>
        <v>10</v>
      </c>
      <c r="C54" s="23">
        <f t="shared" ref="C54:C59" si="21">C53+2</f>
        <v>12</v>
      </c>
      <c r="D54" s="23">
        <f>D53+3</f>
        <v>14</v>
      </c>
      <c r="E54" s="23">
        <v>802.76</v>
      </c>
      <c r="F54" s="23">
        <v>1.21</v>
      </c>
      <c r="G54" s="23">
        <f t="shared" si="15"/>
        <v>663.43801652892569</v>
      </c>
      <c r="H54" s="15">
        <v>3</v>
      </c>
      <c r="I54" s="15">
        <v>4</v>
      </c>
      <c r="J54" s="15">
        <v>13</v>
      </c>
      <c r="K54" s="15">
        <v>14</v>
      </c>
      <c r="L54" s="15">
        <v>-6.9</v>
      </c>
      <c r="M54" s="15">
        <v>1.32</v>
      </c>
      <c r="N54" s="15">
        <f t="shared" si="1"/>
        <v>-5.2272727272727275</v>
      </c>
      <c r="O54" s="15">
        <v>9</v>
      </c>
      <c r="P54" s="15">
        <f>P53+1</f>
        <v>12</v>
      </c>
      <c r="Q54" s="15">
        <f>Q53+2</f>
        <v>15</v>
      </c>
      <c r="R54" s="15"/>
      <c r="S54" s="15"/>
    </row>
    <row r="55" spans="1:19" x14ac:dyDescent="0.15">
      <c r="A55" s="23">
        <v>8</v>
      </c>
      <c r="B55" s="17">
        <f t="shared" si="20"/>
        <v>11</v>
      </c>
      <c r="C55" s="23">
        <f t="shared" si="21"/>
        <v>14</v>
      </c>
      <c r="D55" s="23">
        <f>D54+3</f>
        <v>17</v>
      </c>
      <c r="E55" s="23">
        <v>516.75</v>
      </c>
      <c r="F55" s="23">
        <v>1.0900000000000001</v>
      </c>
      <c r="G55" s="23">
        <f t="shared" si="15"/>
        <v>474.08256880733944</v>
      </c>
      <c r="H55" s="15">
        <v>3</v>
      </c>
      <c r="I55" s="15">
        <v>4</v>
      </c>
      <c r="J55" s="15">
        <v>14</v>
      </c>
      <c r="K55" s="15">
        <v>15</v>
      </c>
      <c r="L55" s="15">
        <v>-5.99</v>
      </c>
      <c r="M55" s="15">
        <v>1.39</v>
      </c>
      <c r="N55" s="15">
        <f t="shared" si="1"/>
        <v>-4.3093525179856123</v>
      </c>
      <c r="O55" s="15">
        <v>9</v>
      </c>
      <c r="P55" s="15">
        <f>P54+1</f>
        <v>13</v>
      </c>
      <c r="Q55" s="15">
        <f>Q54+2</f>
        <v>17</v>
      </c>
      <c r="R55" s="15"/>
      <c r="S55" s="15"/>
    </row>
    <row r="56" spans="1:19" x14ac:dyDescent="0.15">
      <c r="A56" s="23">
        <v>8</v>
      </c>
      <c r="B56" s="17">
        <f t="shared" si="20"/>
        <v>12</v>
      </c>
      <c r="C56" s="23">
        <f t="shared" si="21"/>
        <v>16</v>
      </c>
      <c r="D56" s="23">
        <f>D55+3</f>
        <v>20</v>
      </c>
      <c r="E56" s="23">
        <v>400.62</v>
      </c>
      <c r="F56" s="23">
        <v>1.17</v>
      </c>
      <c r="G56" s="23">
        <f t="shared" si="15"/>
        <v>342.41025641025641</v>
      </c>
      <c r="H56" s="15">
        <v>3</v>
      </c>
      <c r="I56" s="15">
        <v>4</v>
      </c>
      <c r="J56" s="15">
        <v>15</v>
      </c>
      <c r="K56" s="15">
        <v>16</v>
      </c>
      <c r="L56" s="15">
        <v>-6.77</v>
      </c>
      <c r="M56" s="15">
        <v>1.39</v>
      </c>
      <c r="N56" s="15">
        <f t="shared" si="1"/>
        <v>-4.8705035971223021</v>
      </c>
      <c r="O56" s="15">
        <v>9</v>
      </c>
      <c r="P56" s="15">
        <f>P55+1</f>
        <v>14</v>
      </c>
      <c r="Q56" s="15">
        <f>Q55+2</f>
        <v>19</v>
      </c>
      <c r="R56" s="15"/>
      <c r="S56" s="15"/>
    </row>
    <row r="57" spans="1:19" x14ac:dyDescent="0.15">
      <c r="A57" s="23">
        <v>8</v>
      </c>
      <c r="B57" s="17">
        <f t="shared" si="20"/>
        <v>13</v>
      </c>
      <c r="C57" s="23">
        <f t="shared" si="21"/>
        <v>18</v>
      </c>
      <c r="D57" s="23">
        <f>D56+3</f>
        <v>23</v>
      </c>
      <c r="E57" s="23">
        <v>392.46</v>
      </c>
      <c r="F57" s="23">
        <v>1.47</v>
      </c>
      <c r="G57" s="23">
        <f t="shared" si="15"/>
        <v>266.9795918367347</v>
      </c>
      <c r="H57" s="15">
        <v>3</v>
      </c>
      <c r="I57" s="15">
        <v>4</v>
      </c>
      <c r="J57" s="15">
        <v>16</v>
      </c>
      <c r="K57" s="15">
        <v>17</v>
      </c>
      <c r="L57" s="15">
        <v>-6.32</v>
      </c>
      <c r="M57" s="15">
        <v>1.4</v>
      </c>
      <c r="N57" s="15">
        <f t="shared" si="1"/>
        <v>-4.5142857142857151</v>
      </c>
      <c r="O57" s="15">
        <v>9</v>
      </c>
      <c r="P57" s="15">
        <f>P56+1</f>
        <v>15</v>
      </c>
      <c r="Q57" s="15">
        <f>Q56+2</f>
        <v>21</v>
      </c>
      <c r="R57" s="15"/>
      <c r="S57" s="15"/>
    </row>
    <row r="58" spans="1:19" x14ac:dyDescent="0.15">
      <c r="A58" s="23">
        <v>8</v>
      </c>
      <c r="B58" s="17">
        <f t="shared" si="20"/>
        <v>14</v>
      </c>
      <c r="C58" s="23">
        <f t="shared" si="21"/>
        <v>20</v>
      </c>
      <c r="D58" s="23">
        <v>2</v>
      </c>
      <c r="E58" s="23">
        <v>229.92</v>
      </c>
      <c r="F58" s="23">
        <v>1.2</v>
      </c>
      <c r="G58" s="23">
        <f t="shared" si="15"/>
        <v>191.6</v>
      </c>
      <c r="H58" s="15">
        <v>3</v>
      </c>
      <c r="I58" s="15">
        <v>4</v>
      </c>
      <c r="J58" s="15">
        <v>17</v>
      </c>
      <c r="K58" s="15">
        <v>18</v>
      </c>
      <c r="L58" s="15">
        <v>-7.92</v>
      </c>
      <c r="M58" s="15">
        <v>1.41</v>
      </c>
      <c r="N58" s="15">
        <f t="shared" si="1"/>
        <v>-5.6170212765957448</v>
      </c>
      <c r="O58" s="15">
        <v>10</v>
      </c>
      <c r="P58" s="15">
        <v>11</v>
      </c>
      <c r="Q58" s="15">
        <v>12</v>
      </c>
      <c r="R58" s="15"/>
      <c r="S58" s="15"/>
    </row>
    <row r="59" spans="1:19" x14ac:dyDescent="0.15">
      <c r="A59" s="23">
        <v>8</v>
      </c>
      <c r="B59" s="17">
        <f t="shared" si="20"/>
        <v>15</v>
      </c>
      <c r="C59" s="23">
        <f t="shared" si="21"/>
        <v>22</v>
      </c>
      <c r="D59" s="23">
        <f>D58+3</f>
        <v>5</v>
      </c>
      <c r="E59" s="23">
        <v>137.85</v>
      </c>
      <c r="F59" s="23">
        <v>1.3</v>
      </c>
      <c r="G59" s="23">
        <f t="shared" si="15"/>
        <v>106.03846153846153</v>
      </c>
      <c r="H59" s="15">
        <v>3</v>
      </c>
      <c r="I59" s="15">
        <v>4</v>
      </c>
      <c r="J59" s="15">
        <v>18</v>
      </c>
      <c r="K59" s="15">
        <v>19</v>
      </c>
      <c r="L59" s="15">
        <f>-8.79</f>
        <v>-8.7899999999999991</v>
      </c>
      <c r="M59" s="15">
        <v>1.35</v>
      </c>
      <c r="N59" s="15">
        <f t="shared" si="1"/>
        <v>-6.5111111111111102</v>
      </c>
      <c r="O59" s="15">
        <v>10</v>
      </c>
      <c r="P59" s="15">
        <f>P58+1</f>
        <v>12</v>
      </c>
      <c r="Q59" s="15">
        <f>Q58+2</f>
        <v>14</v>
      </c>
      <c r="R59" s="15"/>
      <c r="S59" s="15"/>
    </row>
    <row r="60" spans="1:19" x14ac:dyDescent="0.15">
      <c r="A60" s="23">
        <v>9</v>
      </c>
      <c r="B60" s="17">
        <f>A60+1</f>
        <v>10</v>
      </c>
      <c r="C60" s="23">
        <f>B60+1</f>
        <v>11</v>
      </c>
      <c r="D60" s="23">
        <f>C60+1</f>
        <v>12</v>
      </c>
      <c r="E60" s="23">
        <v>1689.69</v>
      </c>
      <c r="F60" s="23">
        <v>1.35</v>
      </c>
      <c r="G60" s="23">
        <f t="shared" si="15"/>
        <v>1251.6222222222223</v>
      </c>
      <c r="H60" s="15">
        <v>3</v>
      </c>
      <c r="I60" s="15">
        <v>4</v>
      </c>
      <c r="J60" s="15">
        <v>19</v>
      </c>
      <c r="K60" s="15">
        <v>20</v>
      </c>
      <c r="L60" s="15">
        <v>-10.61</v>
      </c>
      <c r="M60" s="15">
        <v>1.37</v>
      </c>
      <c r="N60" s="15">
        <f t="shared" si="1"/>
        <v>-7.7445255474452548</v>
      </c>
      <c r="O60" s="15">
        <v>10</v>
      </c>
      <c r="P60" s="15">
        <f>P59+1</f>
        <v>13</v>
      </c>
      <c r="Q60" s="15">
        <f>Q59+2</f>
        <v>16</v>
      </c>
      <c r="R60" s="15"/>
      <c r="S60" s="15"/>
    </row>
    <row r="61" spans="1:19" x14ac:dyDescent="0.15">
      <c r="A61" s="23">
        <v>9</v>
      </c>
      <c r="B61" s="17">
        <f t="shared" ref="B61:B66" si="22">B60+1</f>
        <v>11</v>
      </c>
      <c r="C61" s="23">
        <f t="shared" ref="C61:C66" si="23">C60+2</f>
        <v>13</v>
      </c>
      <c r="D61" s="23">
        <f>D60+3</f>
        <v>15</v>
      </c>
      <c r="E61" s="23">
        <v>1097.74</v>
      </c>
      <c r="F61" s="23">
        <v>1.58</v>
      </c>
      <c r="G61" s="23">
        <f t="shared" si="15"/>
        <v>694.77215189873414</v>
      </c>
      <c r="H61" s="15">
        <v>3</v>
      </c>
      <c r="I61" s="15">
        <v>4</v>
      </c>
      <c r="J61" s="15">
        <v>20</v>
      </c>
      <c r="K61" s="15">
        <v>21</v>
      </c>
      <c r="L61" s="15">
        <v>-13.45</v>
      </c>
      <c r="M61" s="15">
        <v>1.35</v>
      </c>
      <c r="N61" s="15">
        <f t="shared" si="1"/>
        <v>-9.9629629629629619</v>
      </c>
      <c r="O61" s="15">
        <v>10</v>
      </c>
      <c r="P61" s="15">
        <f>P60+1</f>
        <v>14</v>
      </c>
      <c r="Q61" s="15">
        <f>Q60+2</f>
        <v>18</v>
      </c>
      <c r="R61" s="15"/>
      <c r="S61" s="15"/>
    </row>
    <row r="62" spans="1:19" x14ac:dyDescent="0.15">
      <c r="A62" s="23">
        <v>9</v>
      </c>
      <c r="B62" s="17">
        <f t="shared" si="22"/>
        <v>12</v>
      </c>
      <c r="C62" s="23">
        <f t="shared" si="23"/>
        <v>15</v>
      </c>
      <c r="D62" s="23">
        <f>D61+3</f>
        <v>18</v>
      </c>
      <c r="E62" s="23">
        <v>668.66</v>
      </c>
      <c r="F62" s="23">
        <v>1.4</v>
      </c>
      <c r="G62" s="23">
        <f t="shared" si="15"/>
        <v>477.6142857142857</v>
      </c>
      <c r="H62" s="15">
        <v>3</v>
      </c>
      <c r="I62" s="15">
        <v>4</v>
      </c>
      <c r="J62" s="15">
        <v>21</v>
      </c>
      <c r="K62" s="15">
        <v>22</v>
      </c>
      <c r="L62" s="15">
        <v>-19.18</v>
      </c>
      <c r="M62" s="15">
        <v>1.35</v>
      </c>
      <c r="N62" s="15">
        <f t="shared" si="1"/>
        <v>-14.207407407407405</v>
      </c>
      <c r="O62" s="15">
        <v>10</v>
      </c>
      <c r="P62" s="15">
        <f>P61+1</f>
        <v>15</v>
      </c>
      <c r="Q62" s="15">
        <f>Q61+2</f>
        <v>20</v>
      </c>
      <c r="R62" s="15"/>
      <c r="S62" s="15"/>
    </row>
    <row r="63" spans="1:19" x14ac:dyDescent="0.15">
      <c r="A63" s="23">
        <v>9</v>
      </c>
      <c r="B63" s="17">
        <f t="shared" si="22"/>
        <v>13</v>
      </c>
      <c r="C63" s="23">
        <f t="shared" si="23"/>
        <v>17</v>
      </c>
      <c r="D63" s="23">
        <f>D62+3</f>
        <v>21</v>
      </c>
      <c r="E63" s="23">
        <v>458.05</v>
      </c>
      <c r="F63" s="23">
        <v>1.34</v>
      </c>
      <c r="G63" s="23">
        <f t="shared" si="15"/>
        <v>341.82835820895519</v>
      </c>
      <c r="H63" s="15">
        <v>3</v>
      </c>
      <c r="I63" s="15">
        <v>4</v>
      </c>
      <c r="J63" s="15">
        <v>22</v>
      </c>
      <c r="K63" s="15">
        <v>23</v>
      </c>
      <c r="L63" s="15">
        <v>-32.450000000000003</v>
      </c>
      <c r="M63" s="15">
        <v>1.36</v>
      </c>
      <c r="N63" s="15">
        <f t="shared" si="1"/>
        <v>-23.860294117647058</v>
      </c>
      <c r="O63" s="15">
        <v>10</v>
      </c>
      <c r="P63" s="15">
        <f>P62+1</f>
        <v>16</v>
      </c>
      <c r="Q63" s="15">
        <f>Q62+2</f>
        <v>22</v>
      </c>
      <c r="R63" s="15"/>
      <c r="S63" s="15"/>
    </row>
    <row r="64" spans="1:19" x14ac:dyDescent="0.15">
      <c r="A64" s="23">
        <v>9</v>
      </c>
      <c r="B64" s="17">
        <f t="shared" si="22"/>
        <v>14</v>
      </c>
      <c r="C64" s="23">
        <f t="shared" si="23"/>
        <v>19</v>
      </c>
      <c r="D64" s="23">
        <f>D63+3</f>
        <v>24</v>
      </c>
      <c r="E64" s="23">
        <v>134.32</v>
      </c>
      <c r="F64" s="23">
        <v>1.41</v>
      </c>
      <c r="G64" s="23">
        <f t="shared" si="15"/>
        <v>95.262411347517727</v>
      </c>
      <c r="H64" s="15">
        <v>3</v>
      </c>
      <c r="I64" s="15">
        <v>4</v>
      </c>
      <c r="J64" s="15">
        <v>23</v>
      </c>
      <c r="K64" s="15">
        <v>24</v>
      </c>
      <c r="L64" s="15">
        <v>-61.58</v>
      </c>
      <c r="M64" s="15">
        <v>1.34</v>
      </c>
      <c r="N64" s="15">
        <f t="shared" si="1"/>
        <v>-45.955223880597011</v>
      </c>
      <c r="O64" s="15">
        <v>11</v>
      </c>
      <c r="P64" s="15">
        <v>12</v>
      </c>
      <c r="Q64" s="15">
        <v>13</v>
      </c>
      <c r="R64" s="15"/>
      <c r="S64" s="15"/>
    </row>
    <row r="65" spans="1:19" x14ac:dyDescent="0.15">
      <c r="A65" s="23">
        <v>9</v>
      </c>
      <c r="B65" s="17">
        <f t="shared" si="22"/>
        <v>15</v>
      </c>
      <c r="C65" s="23">
        <f t="shared" si="23"/>
        <v>21</v>
      </c>
      <c r="D65" s="23">
        <v>3</v>
      </c>
      <c r="E65" s="23">
        <v>130.86000000000001</v>
      </c>
      <c r="F65" s="23">
        <v>1.42</v>
      </c>
      <c r="G65" s="23">
        <f t="shared" si="15"/>
        <v>92.154929577464799</v>
      </c>
      <c r="H65" s="15">
        <v>3</v>
      </c>
      <c r="I65" s="15">
        <v>4</v>
      </c>
      <c r="J65" s="15">
        <v>24</v>
      </c>
      <c r="K65" s="15">
        <v>1</v>
      </c>
      <c r="L65" s="15">
        <v>-135.47</v>
      </c>
      <c r="M65" s="15">
        <v>1.32</v>
      </c>
      <c r="N65" s="15">
        <f t="shared" si="1"/>
        <v>-102.62878787878788</v>
      </c>
      <c r="O65" s="15">
        <v>11</v>
      </c>
      <c r="P65" s="15">
        <f>P64+1</f>
        <v>13</v>
      </c>
      <c r="Q65" s="15">
        <f>Q64+2</f>
        <v>15</v>
      </c>
      <c r="R65" s="15"/>
      <c r="S65" s="15"/>
    </row>
    <row r="66" spans="1:19" x14ac:dyDescent="0.15">
      <c r="A66" s="23">
        <v>9</v>
      </c>
      <c r="B66" s="17">
        <f t="shared" si="22"/>
        <v>16</v>
      </c>
      <c r="C66" s="23">
        <f t="shared" si="23"/>
        <v>23</v>
      </c>
      <c r="D66" s="23">
        <f>D65+3</f>
        <v>6</v>
      </c>
      <c r="E66" s="23">
        <v>143.93</v>
      </c>
      <c r="F66" s="23">
        <v>1.41</v>
      </c>
      <c r="G66" s="23">
        <f t="shared" si="15"/>
        <v>102.07801418439718</v>
      </c>
      <c r="H66" s="15">
        <v>3</v>
      </c>
      <c r="I66" s="15">
        <v>4</v>
      </c>
      <c r="J66" s="15">
        <v>1</v>
      </c>
      <c r="K66" s="15">
        <v>2</v>
      </c>
      <c r="L66" s="15">
        <v>-538.74</v>
      </c>
      <c r="M66" s="15">
        <v>1.33</v>
      </c>
      <c r="N66" s="15">
        <f t="shared" si="1"/>
        <v>-405.06766917293231</v>
      </c>
      <c r="O66" s="15">
        <v>11</v>
      </c>
      <c r="P66" s="15">
        <f>P65+1</f>
        <v>14</v>
      </c>
      <c r="Q66" s="15">
        <f>Q65+2</f>
        <v>17</v>
      </c>
      <c r="R66" s="15"/>
      <c r="S66" s="15"/>
    </row>
    <row r="67" spans="1:19" x14ac:dyDescent="0.15">
      <c r="A67" s="23">
        <v>10</v>
      </c>
      <c r="B67" s="17">
        <f>A67+1</f>
        <v>11</v>
      </c>
      <c r="C67" s="23">
        <f>B67+1</f>
        <v>12</v>
      </c>
      <c r="D67" s="23">
        <f>C67+1</f>
        <v>13</v>
      </c>
      <c r="E67" s="26">
        <v>1428.32</v>
      </c>
      <c r="F67" s="23">
        <v>1.17</v>
      </c>
      <c r="G67" s="23">
        <f t="shared" si="15"/>
        <v>1220.7863247863247</v>
      </c>
      <c r="H67" s="15">
        <v>4</v>
      </c>
      <c r="I67" s="15">
        <v>5</v>
      </c>
      <c r="J67" s="15">
        <f>I67+1</f>
        <v>6</v>
      </c>
      <c r="K67" s="15">
        <f>J67+1</f>
        <v>7</v>
      </c>
      <c r="L67" s="15">
        <v>-530.41</v>
      </c>
      <c r="M67" s="15">
        <v>1.21</v>
      </c>
      <c r="N67" s="15">
        <f t="shared" si="1"/>
        <v>-438.35537190082641</v>
      </c>
      <c r="O67" s="15">
        <v>11</v>
      </c>
      <c r="P67" s="15">
        <f>P66+1</f>
        <v>15</v>
      </c>
      <c r="Q67" s="15">
        <f>Q66+2</f>
        <v>19</v>
      </c>
      <c r="R67" s="15"/>
      <c r="S67" s="15"/>
    </row>
    <row r="68" spans="1:19" x14ac:dyDescent="0.15">
      <c r="A68" s="23">
        <v>10</v>
      </c>
      <c r="B68" s="17">
        <f t="shared" ref="B68:B73" si="24">B67+1</f>
        <v>12</v>
      </c>
      <c r="C68" s="23">
        <f t="shared" ref="C68:C73" si="25">C67+2</f>
        <v>14</v>
      </c>
      <c r="D68" s="23">
        <f>D67+3</f>
        <v>16</v>
      </c>
      <c r="E68" s="23">
        <v>686.65</v>
      </c>
      <c r="F68" s="23">
        <v>1.06</v>
      </c>
      <c r="G68" s="23">
        <f t="shared" ref="G68:G99" si="26">E68/F68</f>
        <v>647.78301886792451</v>
      </c>
      <c r="H68" s="15">
        <v>4</v>
      </c>
      <c r="I68" s="15">
        <v>5</v>
      </c>
      <c r="J68" s="15">
        <f t="shared" ref="J68:J84" si="27">J67+1</f>
        <v>7</v>
      </c>
      <c r="K68" s="15">
        <f t="shared" ref="K68:K84" si="28">K67+1</f>
        <v>8</v>
      </c>
      <c r="L68" s="15">
        <v>-134.4</v>
      </c>
      <c r="M68" s="15">
        <v>1.23</v>
      </c>
      <c r="N68" s="15">
        <f t="shared" ref="N68:N131" si="29">L68/M68</f>
        <v>-109.26829268292684</v>
      </c>
      <c r="O68" s="15">
        <v>11</v>
      </c>
      <c r="P68" s="15">
        <f>P67+1</f>
        <v>16</v>
      </c>
      <c r="Q68" s="15">
        <f>Q67+2</f>
        <v>21</v>
      </c>
      <c r="R68" s="15"/>
      <c r="S68" s="15"/>
    </row>
    <row r="69" spans="1:19" x14ac:dyDescent="0.15">
      <c r="A69" s="23">
        <v>10</v>
      </c>
      <c r="B69" s="17">
        <f t="shared" si="24"/>
        <v>13</v>
      </c>
      <c r="C69" s="23">
        <f t="shared" si="25"/>
        <v>16</v>
      </c>
      <c r="D69" s="23">
        <f>D68+3</f>
        <v>19</v>
      </c>
      <c r="E69" s="23">
        <v>510.12</v>
      </c>
      <c r="F69" s="23">
        <v>1.0900000000000001</v>
      </c>
      <c r="G69" s="23">
        <f t="shared" si="26"/>
        <v>467.99999999999994</v>
      </c>
      <c r="H69" s="15">
        <v>4</v>
      </c>
      <c r="I69" s="15">
        <v>5</v>
      </c>
      <c r="J69" s="15">
        <f t="shared" si="27"/>
        <v>8</v>
      </c>
      <c r="K69" s="15">
        <f t="shared" si="28"/>
        <v>9</v>
      </c>
      <c r="L69" s="15">
        <v>-55.32</v>
      </c>
      <c r="M69" s="15">
        <v>1.21</v>
      </c>
      <c r="N69" s="15">
        <f t="shared" si="29"/>
        <v>-45.719008264462815</v>
      </c>
      <c r="O69" s="15">
        <v>11</v>
      </c>
      <c r="P69" s="15">
        <f>P68+1</f>
        <v>17</v>
      </c>
      <c r="Q69" s="15">
        <f>Q68+2</f>
        <v>23</v>
      </c>
      <c r="R69" s="15"/>
      <c r="S69" s="15"/>
    </row>
    <row r="70" spans="1:19" x14ac:dyDescent="0.15">
      <c r="A70" s="23">
        <v>10</v>
      </c>
      <c r="B70" s="17">
        <f t="shared" si="24"/>
        <v>14</v>
      </c>
      <c r="C70" s="23">
        <f t="shared" si="25"/>
        <v>18</v>
      </c>
      <c r="D70" s="23">
        <f>D69+3</f>
        <v>22</v>
      </c>
      <c r="E70" s="23">
        <v>344.87</v>
      </c>
      <c r="F70" s="23">
        <v>1.01</v>
      </c>
      <c r="G70" s="23">
        <f t="shared" si="26"/>
        <v>341.45544554455444</v>
      </c>
      <c r="H70" s="15">
        <v>4</v>
      </c>
      <c r="I70" s="15">
        <v>5</v>
      </c>
      <c r="J70" s="15">
        <f t="shared" si="27"/>
        <v>9</v>
      </c>
      <c r="K70" s="15">
        <f t="shared" si="28"/>
        <v>10</v>
      </c>
      <c r="L70" s="15">
        <v>-31.29</v>
      </c>
      <c r="M70" s="15">
        <v>1.21</v>
      </c>
      <c r="N70" s="15">
        <f t="shared" si="29"/>
        <v>-25.859504132231404</v>
      </c>
      <c r="O70" s="15">
        <v>12</v>
      </c>
      <c r="P70" s="15">
        <v>13</v>
      </c>
      <c r="Q70" s="15">
        <v>14</v>
      </c>
      <c r="R70" s="15"/>
      <c r="S70" s="15"/>
    </row>
    <row r="71" spans="1:19" x14ac:dyDescent="0.15">
      <c r="A71" s="23">
        <v>10</v>
      </c>
      <c r="B71" s="17">
        <f t="shared" si="24"/>
        <v>15</v>
      </c>
      <c r="C71" s="23">
        <f t="shared" si="25"/>
        <v>20</v>
      </c>
      <c r="D71" s="23">
        <v>1</v>
      </c>
      <c r="E71" s="23">
        <v>152.36000000000001</v>
      </c>
      <c r="F71" s="23">
        <v>1.05</v>
      </c>
      <c r="G71" s="23">
        <f t="shared" si="26"/>
        <v>145.10476190476192</v>
      </c>
      <c r="H71" s="15">
        <v>4</v>
      </c>
      <c r="I71" s="15">
        <v>5</v>
      </c>
      <c r="J71" s="15">
        <f t="shared" si="27"/>
        <v>10</v>
      </c>
      <c r="K71" s="15">
        <f t="shared" si="28"/>
        <v>11</v>
      </c>
      <c r="L71" s="15">
        <v>-21.3</v>
      </c>
      <c r="M71" s="15">
        <v>1.25</v>
      </c>
      <c r="N71" s="15">
        <f t="shared" si="29"/>
        <v>-17.04</v>
      </c>
      <c r="O71" s="15">
        <v>12</v>
      </c>
      <c r="P71" s="15">
        <f>P70+1</f>
        <v>14</v>
      </c>
      <c r="Q71" s="15">
        <f>Q70+2</f>
        <v>16</v>
      </c>
      <c r="R71" s="15"/>
      <c r="S71" s="15"/>
    </row>
    <row r="72" spans="1:19" x14ac:dyDescent="0.15">
      <c r="A72" s="23">
        <v>10</v>
      </c>
      <c r="B72" s="17">
        <f t="shared" si="24"/>
        <v>16</v>
      </c>
      <c r="C72" s="23">
        <f t="shared" si="25"/>
        <v>22</v>
      </c>
      <c r="D72" s="23">
        <f>D71+3</f>
        <v>4</v>
      </c>
      <c r="E72" s="23">
        <v>93.02</v>
      </c>
      <c r="F72" s="23">
        <v>0.99</v>
      </c>
      <c r="G72" s="23">
        <f t="shared" si="26"/>
        <v>93.959595959595958</v>
      </c>
      <c r="H72" s="15">
        <v>4</v>
      </c>
      <c r="I72" s="15">
        <v>5</v>
      </c>
      <c r="J72" s="15">
        <f t="shared" si="27"/>
        <v>11</v>
      </c>
      <c r="K72" s="15">
        <f t="shared" si="28"/>
        <v>12</v>
      </c>
      <c r="L72" s="15">
        <v>-17.309999999999999</v>
      </c>
      <c r="M72" s="15">
        <v>1.24</v>
      </c>
      <c r="N72" s="15">
        <f t="shared" si="29"/>
        <v>-13.959677419354838</v>
      </c>
      <c r="O72" s="15">
        <v>12</v>
      </c>
      <c r="P72" s="15">
        <f>P71+1</f>
        <v>15</v>
      </c>
      <c r="Q72" s="15">
        <f>Q71+2</f>
        <v>18</v>
      </c>
      <c r="R72" s="15"/>
      <c r="S72" s="15"/>
    </row>
    <row r="73" spans="1:19" x14ac:dyDescent="0.15">
      <c r="A73" s="23">
        <v>10</v>
      </c>
      <c r="B73" s="17">
        <f t="shared" si="24"/>
        <v>17</v>
      </c>
      <c r="C73" s="23">
        <f t="shared" si="25"/>
        <v>24</v>
      </c>
      <c r="D73" s="23">
        <f>D72+3</f>
        <v>7</v>
      </c>
      <c r="E73" s="23">
        <v>99.9</v>
      </c>
      <c r="F73" s="23">
        <v>1.01</v>
      </c>
      <c r="G73" s="23">
        <f t="shared" si="26"/>
        <v>98.910891089108915</v>
      </c>
      <c r="H73" s="15">
        <v>4</v>
      </c>
      <c r="I73" s="15">
        <v>5</v>
      </c>
      <c r="J73" s="15">
        <f t="shared" si="27"/>
        <v>12</v>
      </c>
      <c r="K73" s="15">
        <f t="shared" si="28"/>
        <v>13</v>
      </c>
      <c r="L73" s="15">
        <v>-10.24</v>
      </c>
      <c r="M73" s="15">
        <v>1.24</v>
      </c>
      <c r="N73" s="15">
        <f t="shared" si="29"/>
        <v>-8.258064516129032</v>
      </c>
      <c r="O73" s="15">
        <v>12</v>
      </c>
      <c r="P73" s="15">
        <f>P72+1</f>
        <v>16</v>
      </c>
      <c r="Q73" s="15">
        <f>Q72+2</f>
        <v>20</v>
      </c>
      <c r="R73" s="15"/>
      <c r="S73" s="15"/>
    </row>
    <row r="74" spans="1:19" x14ac:dyDescent="0.15">
      <c r="A74" s="23">
        <v>11</v>
      </c>
      <c r="B74" s="17">
        <f>A74+1</f>
        <v>12</v>
      </c>
      <c r="C74" s="23">
        <f>B74+1</f>
        <v>13</v>
      </c>
      <c r="D74" s="23">
        <f>C74+1</f>
        <v>14</v>
      </c>
      <c r="E74" s="23">
        <v>1405.53</v>
      </c>
      <c r="F74" s="23">
        <v>1.22</v>
      </c>
      <c r="G74" s="23">
        <f t="shared" si="26"/>
        <v>1152.0737704918033</v>
      </c>
      <c r="H74" s="15">
        <v>4</v>
      </c>
      <c r="I74" s="15">
        <v>5</v>
      </c>
      <c r="J74" s="15">
        <f t="shared" si="27"/>
        <v>13</v>
      </c>
      <c r="K74" s="15">
        <f t="shared" si="28"/>
        <v>14</v>
      </c>
      <c r="L74" s="15">
        <v>-9.06</v>
      </c>
      <c r="M74" s="15">
        <v>1.22</v>
      </c>
      <c r="N74" s="15">
        <f t="shared" si="29"/>
        <v>-7.4262295081967222</v>
      </c>
      <c r="O74" s="15">
        <v>12</v>
      </c>
      <c r="P74" s="15">
        <f>P73+1</f>
        <v>17</v>
      </c>
      <c r="Q74" s="15">
        <f>Q73+2</f>
        <v>22</v>
      </c>
      <c r="R74" s="15"/>
      <c r="S74" s="15"/>
    </row>
    <row r="75" spans="1:19" x14ac:dyDescent="0.15">
      <c r="A75" s="23">
        <v>11</v>
      </c>
      <c r="B75" s="17">
        <f t="shared" ref="B75:B80" si="30">B74+1</f>
        <v>13</v>
      </c>
      <c r="C75" s="23">
        <f>C74+2</f>
        <v>15</v>
      </c>
      <c r="D75" s="23">
        <f>D74+3</f>
        <v>17</v>
      </c>
      <c r="E75" s="23">
        <v>670.21</v>
      </c>
      <c r="F75" s="23">
        <v>1.05</v>
      </c>
      <c r="G75" s="23">
        <f t="shared" si="26"/>
        <v>638.29523809523812</v>
      </c>
      <c r="H75" s="15">
        <v>4</v>
      </c>
      <c r="I75" s="15">
        <v>5</v>
      </c>
      <c r="J75" s="15">
        <f t="shared" si="27"/>
        <v>14</v>
      </c>
      <c r="K75" s="15">
        <f t="shared" si="28"/>
        <v>15</v>
      </c>
      <c r="L75" s="15">
        <v>-7.77</v>
      </c>
      <c r="M75" s="15">
        <v>1.24</v>
      </c>
      <c r="N75" s="15">
        <f t="shared" si="29"/>
        <v>-6.2661290322580641</v>
      </c>
      <c r="O75" s="15">
        <v>12</v>
      </c>
      <c r="P75" s="15">
        <f>P74+1</f>
        <v>18</v>
      </c>
      <c r="Q75" s="15">
        <f>Q74+2</f>
        <v>24</v>
      </c>
      <c r="R75" s="15"/>
      <c r="S75" s="15"/>
    </row>
    <row r="76" spans="1:19" x14ac:dyDescent="0.15">
      <c r="A76" s="23">
        <v>11</v>
      </c>
      <c r="B76" s="17">
        <f t="shared" si="30"/>
        <v>14</v>
      </c>
      <c r="C76" s="23">
        <f>C75+2</f>
        <v>17</v>
      </c>
      <c r="D76" s="23">
        <f>D75+3</f>
        <v>20</v>
      </c>
      <c r="E76" s="23">
        <v>506.5</v>
      </c>
      <c r="F76" s="23">
        <v>1.18</v>
      </c>
      <c r="G76" s="23">
        <f t="shared" si="26"/>
        <v>429.23728813559325</v>
      </c>
      <c r="H76" s="15">
        <v>4</v>
      </c>
      <c r="I76" s="15">
        <v>5</v>
      </c>
      <c r="J76" s="15">
        <f t="shared" si="27"/>
        <v>15</v>
      </c>
      <c r="K76" s="15">
        <f t="shared" si="28"/>
        <v>16</v>
      </c>
      <c r="L76" s="15">
        <v>-7.39</v>
      </c>
      <c r="M76" s="15">
        <v>1.23</v>
      </c>
      <c r="N76" s="15">
        <f t="shared" si="29"/>
        <v>-6.0081300813008127</v>
      </c>
      <c r="O76" s="15">
        <v>13</v>
      </c>
      <c r="P76" s="15">
        <v>14</v>
      </c>
      <c r="Q76" s="15">
        <v>15</v>
      </c>
      <c r="R76" s="15"/>
      <c r="S76" s="15"/>
    </row>
    <row r="77" spans="1:19" x14ac:dyDescent="0.15">
      <c r="A77" s="23">
        <v>11</v>
      </c>
      <c r="B77" s="17">
        <f t="shared" si="30"/>
        <v>15</v>
      </c>
      <c r="C77" s="23">
        <f>C76+2</f>
        <v>19</v>
      </c>
      <c r="D77" s="23">
        <f>D76+3</f>
        <v>23</v>
      </c>
      <c r="E77" s="23">
        <v>497.07</v>
      </c>
      <c r="F77" s="23">
        <v>1.42</v>
      </c>
      <c r="G77" s="23">
        <f t="shared" si="26"/>
        <v>350.04929577464787</v>
      </c>
      <c r="H77" s="15">
        <v>4</v>
      </c>
      <c r="I77" s="15">
        <v>5</v>
      </c>
      <c r="J77" s="15">
        <f t="shared" si="27"/>
        <v>16</v>
      </c>
      <c r="K77" s="15">
        <f t="shared" si="28"/>
        <v>17</v>
      </c>
      <c r="L77" s="15">
        <v>-9.2899999999999991</v>
      </c>
      <c r="M77" s="15">
        <v>1.27</v>
      </c>
      <c r="N77" s="15">
        <f t="shared" si="29"/>
        <v>-7.3149606299212593</v>
      </c>
      <c r="O77" s="15">
        <v>13</v>
      </c>
      <c r="P77" s="15">
        <f>P76+1</f>
        <v>15</v>
      </c>
      <c r="Q77" s="15">
        <f>Q76+2</f>
        <v>17</v>
      </c>
      <c r="R77" s="15"/>
      <c r="S77" s="15"/>
    </row>
    <row r="78" spans="1:19" x14ac:dyDescent="0.15">
      <c r="A78" s="23">
        <v>11</v>
      </c>
      <c r="B78" s="17">
        <f t="shared" si="30"/>
        <v>16</v>
      </c>
      <c r="C78" s="23">
        <f>C77+2</f>
        <v>21</v>
      </c>
      <c r="D78" s="23">
        <v>2</v>
      </c>
      <c r="E78" s="23">
        <v>297.05</v>
      </c>
      <c r="F78" s="23">
        <v>1.2</v>
      </c>
      <c r="G78" s="23">
        <f t="shared" si="26"/>
        <v>247.54166666666669</v>
      </c>
      <c r="H78" s="15">
        <v>4</v>
      </c>
      <c r="I78" s="15">
        <v>5</v>
      </c>
      <c r="J78" s="15">
        <f t="shared" si="27"/>
        <v>17</v>
      </c>
      <c r="K78" s="15">
        <f t="shared" si="28"/>
        <v>18</v>
      </c>
      <c r="L78" s="15">
        <v>-6.92</v>
      </c>
      <c r="M78" s="15">
        <v>1.27</v>
      </c>
      <c r="N78" s="15">
        <f t="shared" si="29"/>
        <v>-5.4488188976377954</v>
      </c>
      <c r="O78" s="15">
        <v>13</v>
      </c>
      <c r="P78" s="15">
        <f>P77+1</f>
        <v>16</v>
      </c>
      <c r="Q78" s="15">
        <f>Q77+2</f>
        <v>19</v>
      </c>
      <c r="R78" s="15"/>
      <c r="S78" s="15"/>
    </row>
    <row r="79" spans="1:19" x14ac:dyDescent="0.15">
      <c r="A79" s="23">
        <v>11</v>
      </c>
      <c r="B79" s="17">
        <f t="shared" si="30"/>
        <v>17</v>
      </c>
      <c r="C79" s="23">
        <f>C78+2</f>
        <v>23</v>
      </c>
      <c r="D79" s="23">
        <f>D78+3</f>
        <v>5</v>
      </c>
      <c r="E79" s="23">
        <v>238.7</v>
      </c>
      <c r="F79" s="23">
        <v>1.32</v>
      </c>
      <c r="G79" s="23">
        <f t="shared" si="26"/>
        <v>180.83333333333331</v>
      </c>
      <c r="H79" s="15">
        <v>4</v>
      </c>
      <c r="I79" s="15">
        <v>5</v>
      </c>
      <c r="J79" s="15">
        <f t="shared" si="27"/>
        <v>18</v>
      </c>
      <c r="K79" s="15">
        <f t="shared" si="28"/>
        <v>19</v>
      </c>
      <c r="L79" s="15">
        <v>-8.08</v>
      </c>
      <c r="M79" s="15">
        <v>1.25</v>
      </c>
      <c r="N79" s="15">
        <f t="shared" si="29"/>
        <v>-6.4640000000000004</v>
      </c>
      <c r="O79" s="15">
        <v>13</v>
      </c>
      <c r="P79" s="15">
        <f>P78+1</f>
        <v>17</v>
      </c>
      <c r="Q79" s="15">
        <f>Q78+2</f>
        <v>21</v>
      </c>
      <c r="R79" s="15"/>
      <c r="S79" s="15"/>
    </row>
    <row r="80" spans="1:19" x14ac:dyDescent="0.15">
      <c r="A80" s="23">
        <v>11</v>
      </c>
      <c r="B80" s="17">
        <f t="shared" si="30"/>
        <v>18</v>
      </c>
      <c r="C80" s="23">
        <v>1</v>
      </c>
      <c r="D80" s="23">
        <f>D79+3</f>
        <v>8</v>
      </c>
      <c r="E80" s="23">
        <v>120.47</v>
      </c>
      <c r="F80" s="23">
        <v>1.22</v>
      </c>
      <c r="G80" s="23">
        <f t="shared" si="26"/>
        <v>98.745901639344268</v>
      </c>
      <c r="H80" s="15">
        <v>4</v>
      </c>
      <c r="I80" s="15">
        <v>5</v>
      </c>
      <c r="J80" s="15">
        <f t="shared" si="27"/>
        <v>19</v>
      </c>
      <c r="K80" s="15">
        <f t="shared" si="28"/>
        <v>20</v>
      </c>
      <c r="L80" s="15">
        <v>-10.84</v>
      </c>
      <c r="M80" s="15">
        <v>1.27</v>
      </c>
      <c r="N80" s="15">
        <f t="shared" si="29"/>
        <v>-8.5354330708661408</v>
      </c>
      <c r="O80" s="15">
        <v>13</v>
      </c>
      <c r="P80" s="15">
        <f>P79+1</f>
        <v>18</v>
      </c>
      <c r="Q80" s="15">
        <f>Q79+2</f>
        <v>23</v>
      </c>
      <c r="R80" s="15"/>
      <c r="S80" s="15"/>
    </row>
    <row r="81" spans="1:19" x14ac:dyDescent="0.15">
      <c r="A81" s="23">
        <v>12</v>
      </c>
      <c r="B81" s="17">
        <f>A81+1</f>
        <v>13</v>
      </c>
      <c r="C81" s="23">
        <f>B81+1</f>
        <v>14</v>
      </c>
      <c r="D81" s="23">
        <f>C81+1</f>
        <v>15</v>
      </c>
      <c r="E81" s="23">
        <v>1659.47</v>
      </c>
      <c r="F81" s="23">
        <v>1.51</v>
      </c>
      <c r="G81" s="23">
        <f t="shared" si="26"/>
        <v>1098.9867549668875</v>
      </c>
      <c r="H81" s="15">
        <v>4</v>
      </c>
      <c r="I81" s="15">
        <v>5</v>
      </c>
      <c r="J81" s="15">
        <f t="shared" si="27"/>
        <v>20</v>
      </c>
      <c r="K81" s="15">
        <f t="shared" si="28"/>
        <v>21</v>
      </c>
      <c r="L81" s="15">
        <v>-14.24</v>
      </c>
      <c r="M81" s="15">
        <v>1.27</v>
      </c>
      <c r="N81" s="15">
        <f t="shared" si="29"/>
        <v>-11.21259842519685</v>
      </c>
      <c r="O81" s="15">
        <v>13</v>
      </c>
      <c r="P81" s="15">
        <f>P80+1</f>
        <v>19</v>
      </c>
      <c r="Q81" s="15">
        <v>1</v>
      </c>
      <c r="R81" s="15"/>
      <c r="S81" s="15"/>
    </row>
    <row r="82" spans="1:19" x14ac:dyDescent="0.15">
      <c r="A82" s="23">
        <v>12</v>
      </c>
      <c r="B82" s="17">
        <f t="shared" ref="B82:B87" si="31">B81+1</f>
        <v>14</v>
      </c>
      <c r="C82" s="23">
        <f>C81+2</f>
        <v>16</v>
      </c>
      <c r="D82" s="23">
        <f>D81+3</f>
        <v>18</v>
      </c>
      <c r="E82" s="23">
        <v>845.07</v>
      </c>
      <c r="F82" s="23">
        <v>1.28</v>
      </c>
      <c r="G82" s="23">
        <f t="shared" si="26"/>
        <v>660.2109375</v>
      </c>
      <c r="H82" s="15">
        <v>4</v>
      </c>
      <c r="I82" s="15">
        <v>5</v>
      </c>
      <c r="J82" s="15">
        <f t="shared" si="27"/>
        <v>21</v>
      </c>
      <c r="K82" s="15">
        <f t="shared" si="28"/>
        <v>22</v>
      </c>
      <c r="L82" s="15">
        <v>-15.77</v>
      </c>
      <c r="M82" s="15">
        <v>1.23</v>
      </c>
      <c r="N82" s="15">
        <f t="shared" si="29"/>
        <v>-12.821138211382113</v>
      </c>
      <c r="O82" s="15">
        <v>14</v>
      </c>
      <c r="P82" s="15">
        <v>15</v>
      </c>
      <c r="Q82" s="15">
        <v>16</v>
      </c>
      <c r="R82" s="15"/>
      <c r="S82" s="15"/>
    </row>
    <row r="83" spans="1:19" x14ac:dyDescent="0.15">
      <c r="A83" s="23">
        <v>12</v>
      </c>
      <c r="B83" s="17">
        <f t="shared" si="31"/>
        <v>15</v>
      </c>
      <c r="C83" s="23">
        <f>C82+2</f>
        <v>18</v>
      </c>
      <c r="D83" s="23">
        <f>D82+3</f>
        <v>21</v>
      </c>
      <c r="E83" s="23">
        <v>624.33000000000004</v>
      </c>
      <c r="F83" s="23">
        <v>1.28</v>
      </c>
      <c r="G83" s="23">
        <f t="shared" si="26"/>
        <v>487.7578125</v>
      </c>
      <c r="H83" s="15">
        <v>4</v>
      </c>
      <c r="I83" s="15">
        <v>5</v>
      </c>
      <c r="J83" s="15">
        <f t="shared" si="27"/>
        <v>22</v>
      </c>
      <c r="K83" s="15">
        <f t="shared" si="28"/>
        <v>23</v>
      </c>
      <c r="L83" s="15">
        <v>-20.95</v>
      </c>
      <c r="M83" s="15">
        <v>1.26</v>
      </c>
      <c r="N83" s="15">
        <f t="shared" si="29"/>
        <v>-16.626984126984127</v>
      </c>
      <c r="O83" s="15">
        <v>14</v>
      </c>
      <c r="P83" s="15">
        <f>P82+1</f>
        <v>16</v>
      </c>
      <c r="Q83" s="15">
        <f>Q82+2</f>
        <v>18</v>
      </c>
      <c r="R83" s="15"/>
      <c r="S83" s="15"/>
    </row>
    <row r="84" spans="1:19" x14ac:dyDescent="0.15">
      <c r="A84" s="23">
        <v>12</v>
      </c>
      <c r="B84" s="17">
        <f t="shared" si="31"/>
        <v>16</v>
      </c>
      <c r="C84" s="23">
        <f>C83+2</f>
        <v>20</v>
      </c>
      <c r="D84" s="23">
        <f>D83+3</f>
        <v>24</v>
      </c>
      <c r="E84" s="23">
        <v>454.61</v>
      </c>
      <c r="F84" s="23">
        <v>1.28</v>
      </c>
      <c r="G84" s="23">
        <f t="shared" si="26"/>
        <v>355.1640625</v>
      </c>
      <c r="H84" s="15">
        <v>4</v>
      </c>
      <c r="I84" s="15">
        <v>5</v>
      </c>
      <c r="J84" s="15">
        <f t="shared" si="27"/>
        <v>23</v>
      </c>
      <c r="K84" s="15">
        <f t="shared" si="28"/>
        <v>24</v>
      </c>
      <c r="L84" s="15">
        <v>-32.229999999999997</v>
      </c>
      <c r="M84" s="15">
        <v>1.21</v>
      </c>
      <c r="N84" s="15">
        <f t="shared" si="29"/>
        <v>-26.636363636363633</v>
      </c>
      <c r="O84" s="15">
        <v>14</v>
      </c>
      <c r="P84" s="15">
        <f>P83+1</f>
        <v>17</v>
      </c>
      <c r="Q84" s="15">
        <f>Q83+2</f>
        <v>20</v>
      </c>
      <c r="R84" s="15"/>
      <c r="S84" s="15"/>
    </row>
    <row r="85" spans="1:19" x14ac:dyDescent="0.15">
      <c r="A85" s="23">
        <v>12</v>
      </c>
      <c r="B85" s="17">
        <f t="shared" si="31"/>
        <v>17</v>
      </c>
      <c r="C85" s="23">
        <f>C84+2</f>
        <v>22</v>
      </c>
      <c r="D85" s="23">
        <v>3</v>
      </c>
      <c r="E85" s="23">
        <v>356.24</v>
      </c>
      <c r="F85" s="23">
        <v>1.35</v>
      </c>
      <c r="G85" s="23">
        <f t="shared" si="26"/>
        <v>263.88148148148144</v>
      </c>
      <c r="H85" s="15">
        <v>4</v>
      </c>
      <c r="I85" s="15">
        <v>5</v>
      </c>
      <c r="J85" s="15">
        <f>J84+1</f>
        <v>24</v>
      </c>
      <c r="K85" s="15">
        <v>1</v>
      </c>
      <c r="L85" s="15">
        <v>-54.78</v>
      </c>
      <c r="M85" s="15">
        <v>1.23</v>
      </c>
      <c r="N85" s="15">
        <f t="shared" si="29"/>
        <v>-44.536585365853661</v>
      </c>
      <c r="O85" s="15">
        <v>14</v>
      </c>
      <c r="P85" s="15">
        <f>P84+1</f>
        <v>18</v>
      </c>
      <c r="Q85" s="15">
        <f>Q84+2</f>
        <v>22</v>
      </c>
      <c r="R85" s="15"/>
      <c r="S85" s="15"/>
    </row>
    <row r="86" spans="1:19" x14ac:dyDescent="0.15">
      <c r="A86" s="23">
        <v>12</v>
      </c>
      <c r="B86" s="17">
        <f t="shared" si="31"/>
        <v>18</v>
      </c>
      <c r="C86" s="23">
        <f>C85+2</f>
        <v>24</v>
      </c>
      <c r="D86" s="23">
        <f>D85+3</f>
        <v>6</v>
      </c>
      <c r="E86" s="23">
        <v>246.02</v>
      </c>
      <c r="F86" s="23">
        <v>1.29</v>
      </c>
      <c r="G86" s="23">
        <f t="shared" si="26"/>
        <v>190.71317829457365</v>
      </c>
      <c r="H86" s="15">
        <v>4</v>
      </c>
      <c r="I86" s="15">
        <v>5</v>
      </c>
      <c r="J86" s="15">
        <v>1</v>
      </c>
      <c r="K86" s="15">
        <f>K85+1</f>
        <v>2</v>
      </c>
      <c r="L86" s="15">
        <v>-132.16</v>
      </c>
      <c r="M86" s="15">
        <v>1.22</v>
      </c>
      <c r="N86" s="15">
        <f t="shared" si="29"/>
        <v>-108.32786885245902</v>
      </c>
      <c r="O86" s="15">
        <v>14</v>
      </c>
      <c r="P86" s="15">
        <f>P85+1</f>
        <v>19</v>
      </c>
      <c r="Q86" s="15">
        <f>Q85+2</f>
        <v>24</v>
      </c>
      <c r="R86" s="15"/>
      <c r="S86" s="15"/>
    </row>
    <row r="87" spans="1:19" x14ac:dyDescent="0.15">
      <c r="A87" s="23">
        <v>12</v>
      </c>
      <c r="B87" s="17">
        <f t="shared" si="31"/>
        <v>19</v>
      </c>
      <c r="C87" s="23">
        <v>2</v>
      </c>
      <c r="D87" s="23">
        <f>D86+3</f>
        <v>9</v>
      </c>
      <c r="E87" s="23">
        <v>129.97999999999999</v>
      </c>
      <c r="F87" s="23">
        <v>1.31</v>
      </c>
      <c r="G87" s="23">
        <f t="shared" si="26"/>
        <v>99.221374045801511</v>
      </c>
      <c r="H87" s="15">
        <v>4</v>
      </c>
      <c r="I87" s="15">
        <v>5</v>
      </c>
      <c r="J87" s="15">
        <f>J86+1</f>
        <v>2</v>
      </c>
      <c r="K87" s="15">
        <f>K86+1</f>
        <v>3</v>
      </c>
      <c r="L87" s="15">
        <v>-490.44</v>
      </c>
      <c r="M87" s="15">
        <v>1.24</v>
      </c>
      <c r="N87" s="15">
        <f t="shared" si="29"/>
        <v>-395.51612903225805</v>
      </c>
      <c r="O87" s="15">
        <v>14</v>
      </c>
      <c r="P87" s="15">
        <f>P86+1</f>
        <v>20</v>
      </c>
      <c r="Q87" s="15">
        <v>2</v>
      </c>
      <c r="R87" s="15"/>
      <c r="S87" s="15"/>
    </row>
    <row r="88" spans="1:19" x14ac:dyDescent="0.15">
      <c r="A88" s="23">
        <v>13</v>
      </c>
      <c r="B88" s="17">
        <f>A88+1</f>
        <v>14</v>
      </c>
      <c r="C88" s="23">
        <f>B88+1</f>
        <v>15</v>
      </c>
      <c r="D88" s="23">
        <f>C88+1</f>
        <v>16</v>
      </c>
      <c r="E88" s="23">
        <v>1894.03</v>
      </c>
      <c r="F88" s="23">
        <v>1.68</v>
      </c>
      <c r="G88" s="23">
        <f t="shared" si="26"/>
        <v>1127.3988095238096</v>
      </c>
      <c r="H88" s="15">
        <v>5</v>
      </c>
      <c r="I88" s="15">
        <v>6</v>
      </c>
      <c r="J88" s="15">
        <f>I88+1</f>
        <v>7</v>
      </c>
      <c r="K88" s="15">
        <f>J88+1</f>
        <v>8</v>
      </c>
      <c r="L88" s="15">
        <v>-567.14</v>
      </c>
      <c r="M88" s="15">
        <v>1.45</v>
      </c>
      <c r="N88" s="15">
        <f t="shared" si="29"/>
        <v>-391.13103448275865</v>
      </c>
      <c r="O88" s="15">
        <v>15</v>
      </c>
      <c r="P88" s="15">
        <v>16</v>
      </c>
      <c r="Q88" s="15">
        <v>17</v>
      </c>
      <c r="R88" s="15"/>
      <c r="S88" s="15"/>
    </row>
    <row r="89" spans="1:19" x14ac:dyDescent="0.15">
      <c r="A89" s="23">
        <v>13</v>
      </c>
      <c r="B89" s="17">
        <f t="shared" ref="B89:B94" si="32">B88+1</f>
        <v>15</v>
      </c>
      <c r="C89" s="23">
        <f>C88+2</f>
        <v>17</v>
      </c>
      <c r="D89" s="23">
        <f>D88+3</f>
        <v>19</v>
      </c>
      <c r="E89" s="23">
        <v>1058.83</v>
      </c>
      <c r="F89" s="23">
        <v>1.7</v>
      </c>
      <c r="G89" s="23">
        <f t="shared" si="26"/>
        <v>622.84117647058815</v>
      </c>
      <c r="H89" s="15">
        <v>5</v>
      </c>
      <c r="I89" s="15">
        <v>6</v>
      </c>
      <c r="J89" s="15">
        <f t="shared" ref="J89:J104" si="33">J88+1</f>
        <v>8</v>
      </c>
      <c r="K89" s="15">
        <f t="shared" ref="K89:K104" si="34">K88+1</f>
        <v>9</v>
      </c>
      <c r="L89" s="15">
        <v>-142.80000000000001</v>
      </c>
      <c r="M89" s="15">
        <v>1.45</v>
      </c>
      <c r="N89" s="15">
        <f t="shared" si="29"/>
        <v>-98.482758620689665</v>
      </c>
      <c r="O89" s="15">
        <v>15</v>
      </c>
      <c r="P89" s="15">
        <f>P88+1</f>
        <v>17</v>
      </c>
      <c r="Q89" s="15">
        <f>Q88+2</f>
        <v>19</v>
      </c>
      <c r="R89" s="15"/>
      <c r="S89" s="15"/>
    </row>
    <row r="90" spans="1:19" x14ac:dyDescent="0.15">
      <c r="A90" s="23">
        <v>13</v>
      </c>
      <c r="B90" s="17">
        <f t="shared" si="32"/>
        <v>16</v>
      </c>
      <c r="C90" s="23">
        <f>C89+2</f>
        <v>19</v>
      </c>
      <c r="D90" s="23">
        <f>D89+3</f>
        <v>22</v>
      </c>
      <c r="E90" s="23">
        <v>824.42</v>
      </c>
      <c r="F90" s="23">
        <v>1.62</v>
      </c>
      <c r="G90" s="23">
        <f t="shared" si="26"/>
        <v>508.90123456790116</v>
      </c>
      <c r="H90" s="15">
        <v>5</v>
      </c>
      <c r="I90" s="15">
        <v>6</v>
      </c>
      <c r="J90" s="15">
        <f t="shared" si="33"/>
        <v>9</v>
      </c>
      <c r="K90" s="15">
        <f t="shared" si="34"/>
        <v>10</v>
      </c>
      <c r="L90" s="15">
        <v>-60.97</v>
      </c>
      <c r="M90" s="15">
        <v>1.39</v>
      </c>
      <c r="N90" s="15">
        <f t="shared" si="29"/>
        <v>-43.863309352517987</v>
      </c>
      <c r="O90" s="15">
        <v>15</v>
      </c>
      <c r="P90" s="15">
        <f>P89+1</f>
        <v>18</v>
      </c>
      <c r="Q90" s="15">
        <f>Q89+2</f>
        <v>21</v>
      </c>
      <c r="R90" s="15"/>
      <c r="S90" s="15"/>
    </row>
    <row r="91" spans="1:19" x14ac:dyDescent="0.15">
      <c r="A91" s="23">
        <v>13</v>
      </c>
      <c r="B91" s="17">
        <f t="shared" si="32"/>
        <v>17</v>
      </c>
      <c r="C91" s="23">
        <f>C90+2</f>
        <v>21</v>
      </c>
      <c r="D91" s="23">
        <v>1</v>
      </c>
      <c r="E91" s="23">
        <v>601.45000000000005</v>
      </c>
      <c r="F91" s="23">
        <v>1.67</v>
      </c>
      <c r="G91" s="23">
        <f t="shared" si="26"/>
        <v>360.14970059880244</v>
      </c>
      <c r="H91" s="15">
        <v>5</v>
      </c>
      <c r="I91" s="15">
        <v>6</v>
      </c>
      <c r="J91" s="15">
        <f t="shared" si="33"/>
        <v>10</v>
      </c>
      <c r="K91" s="15">
        <f t="shared" si="34"/>
        <v>11</v>
      </c>
      <c r="L91" s="15">
        <v>-34.19</v>
      </c>
      <c r="M91" s="15">
        <v>1.43</v>
      </c>
      <c r="N91" s="15">
        <f t="shared" si="29"/>
        <v>-23.90909090909091</v>
      </c>
      <c r="O91" s="15">
        <v>15</v>
      </c>
      <c r="P91" s="15">
        <f>P90+1</f>
        <v>19</v>
      </c>
      <c r="Q91" s="15">
        <f>Q90+2</f>
        <v>23</v>
      </c>
      <c r="R91" s="15"/>
      <c r="S91" s="15"/>
    </row>
    <row r="92" spans="1:19" x14ac:dyDescent="0.15">
      <c r="A92" s="23">
        <v>13</v>
      </c>
      <c r="B92" s="17">
        <f t="shared" si="32"/>
        <v>18</v>
      </c>
      <c r="C92" s="23">
        <f>C91+2</f>
        <v>23</v>
      </c>
      <c r="D92" s="23">
        <f>D91+3</f>
        <v>4</v>
      </c>
      <c r="E92" s="23">
        <v>423.03</v>
      </c>
      <c r="F92" s="23">
        <v>1.61</v>
      </c>
      <c r="G92" s="23">
        <f t="shared" si="26"/>
        <v>262.75155279503105</v>
      </c>
      <c r="H92" s="15">
        <v>5</v>
      </c>
      <c r="I92" s="15">
        <v>6</v>
      </c>
      <c r="J92" s="15">
        <f t="shared" si="33"/>
        <v>11</v>
      </c>
      <c r="K92" s="15">
        <f t="shared" si="34"/>
        <v>12</v>
      </c>
      <c r="L92" s="15">
        <v>-22.37</v>
      </c>
      <c r="M92" s="15">
        <v>1.43</v>
      </c>
      <c r="N92" s="15">
        <f t="shared" si="29"/>
        <v>-15.643356643356645</v>
      </c>
      <c r="O92" s="15">
        <v>15</v>
      </c>
      <c r="P92" s="15">
        <f>P91+1</f>
        <v>20</v>
      </c>
      <c r="Q92" s="15">
        <v>1</v>
      </c>
      <c r="R92" s="15"/>
      <c r="S92" s="15"/>
    </row>
    <row r="93" spans="1:19" x14ac:dyDescent="0.15">
      <c r="A93" s="23">
        <v>13</v>
      </c>
      <c r="B93" s="17">
        <f t="shared" si="32"/>
        <v>19</v>
      </c>
      <c r="C93" s="23">
        <v>1</v>
      </c>
      <c r="D93" s="23">
        <f>D92+3</f>
        <v>7</v>
      </c>
      <c r="E93" s="23">
        <v>293.20999999999998</v>
      </c>
      <c r="F93" s="23">
        <v>1.62</v>
      </c>
      <c r="G93" s="23">
        <f t="shared" si="26"/>
        <v>180.99382716049379</v>
      </c>
      <c r="H93" s="15">
        <v>5</v>
      </c>
      <c r="I93" s="15">
        <v>6</v>
      </c>
      <c r="J93" s="15">
        <f t="shared" si="33"/>
        <v>12</v>
      </c>
      <c r="K93" s="15">
        <f t="shared" si="34"/>
        <v>13</v>
      </c>
      <c r="L93" s="15">
        <v>-14.23</v>
      </c>
      <c r="M93" s="15">
        <v>1.46</v>
      </c>
      <c r="N93" s="15">
        <f t="shared" si="29"/>
        <v>-9.7465753424657535</v>
      </c>
      <c r="O93" s="15">
        <v>15</v>
      </c>
      <c r="P93" s="15">
        <f>P92+1</f>
        <v>21</v>
      </c>
      <c r="Q93" s="15">
        <f>Q92+2</f>
        <v>3</v>
      </c>
      <c r="R93" s="15"/>
      <c r="S93" s="15"/>
    </row>
    <row r="94" spans="1:19" x14ac:dyDescent="0.15">
      <c r="A94" s="23">
        <v>13</v>
      </c>
      <c r="B94" s="17">
        <f t="shared" si="32"/>
        <v>20</v>
      </c>
      <c r="C94" s="23">
        <f>C93+2</f>
        <v>3</v>
      </c>
      <c r="D94" s="23">
        <f>D93+3</f>
        <v>10</v>
      </c>
      <c r="E94" s="23">
        <v>111.83</v>
      </c>
      <c r="F94" s="23">
        <v>1.18</v>
      </c>
      <c r="G94" s="23">
        <f t="shared" si="26"/>
        <v>94.771186440677965</v>
      </c>
      <c r="H94" s="15">
        <v>5</v>
      </c>
      <c r="I94" s="15">
        <v>6</v>
      </c>
      <c r="J94" s="15">
        <f t="shared" si="33"/>
        <v>13</v>
      </c>
      <c r="K94" s="15">
        <f t="shared" si="34"/>
        <v>14</v>
      </c>
      <c r="L94" s="15">
        <v>-10.88</v>
      </c>
      <c r="M94" s="15">
        <v>1.42</v>
      </c>
      <c r="N94" s="15">
        <f t="shared" si="29"/>
        <v>-7.6619718309859168</v>
      </c>
      <c r="O94" s="15">
        <v>16</v>
      </c>
      <c r="P94" s="15">
        <v>17</v>
      </c>
      <c r="Q94" s="15">
        <v>18</v>
      </c>
      <c r="R94" s="15"/>
      <c r="S94" s="15"/>
    </row>
    <row r="95" spans="1:19" x14ac:dyDescent="0.15">
      <c r="A95" s="23">
        <v>14</v>
      </c>
      <c r="B95" s="17">
        <f>A95+1</f>
        <v>15</v>
      </c>
      <c r="C95" s="23">
        <f>B95+1</f>
        <v>16</v>
      </c>
      <c r="D95" s="23">
        <f>C95+1</f>
        <v>17</v>
      </c>
      <c r="E95" s="23">
        <v>1376.73</v>
      </c>
      <c r="F95" s="22">
        <v>1.0900000000000001</v>
      </c>
      <c r="G95" s="23">
        <f t="shared" si="26"/>
        <v>1263.0550458715595</v>
      </c>
      <c r="H95" s="15">
        <v>5</v>
      </c>
      <c r="I95" s="15">
        <v>6</v>
      </c>
      <c r="J95" s="15">
        <f t="shared" si="33"/>
        <v>14</v>
      </c>
      <c r="K95" s="15">
        <f t="shared" si="34"/>
        <v>15</v>
      </c>
      <c r="L95" s="15">
        <v>-7.89</v>
      </c>
      <c r="M95" s="15">
        <v>1.45</v>
      </c>
      <c r="N95" s="15">
        <f t="shared" si="29"/>
        <v>-5.4413793103448276</v>
      </c>
      <c r="O95" s="15">
        <v>16</v>
      </c>
      <c r="P95" s="15">
        <f>P94+1</f>
        <v>18</v>
      </c>
      <c r="Q95" s="15">
        <f>Q94+2</f>
        <v>20</v>
      </c>
      <c r="R95" s="15"/>
      <c r="S95" s="15"/>
    </row>
    <row r="96" spans="1:19" x14ac:dyDescent="0.15">
      <c r="A96" s="23">
        <v>14</v>
      </c>
      <c r="B96" s="17">
        <f t="shared" ref="B96:B101" si="35">B95+1</f>
        <v>16</v>
      </c>
      <c r="C96" s="23">
        <f>C95+2</f>
        <v>18</v>
      </c>
      <c r="D96" s="23">
        <f>D95+3</f>
        <v>20</v>
      </c>
      <c r="E96" s="23">
        <v>754.24</v>
      </c>
      <c r="F96" s="23">
        <v>1.1399999999999999</v>
      </c>
      <c r="G96" s="23">
        <f t="shared" si="26"/>
        <v>661.61403508771934</v>
      </c>
      <c r="H96" s="15">
        <v>5</v>
      </c>
      <c r="I96" s="15">
        <v>6</v>
      </c>
      <c r="J96" s="15">
        <f t="shared" si="33"/>
        <v>15</v>
      </c>
      <c r="K96" s="15">
        <f t="shared" si="34"/>
        <v>16</v>
      </c>
      <c r="L96" s="15">
        <v>-7.69</v>
      </c>
      <c r="M96" s="15">
        <v>1.43</v>
      </c>
      <c r="N96" s="15">
        <f t="shared" si="29"/>
        <v>-5.3776223776223784</v>
      </c>
      <c r="O96" s="15">
        <v>16</v>
      </c>
      <c r="P96" s="15">
        <f>P95+1</f>
        <v>19</v>
      </c>
      <c r="Q96" s="15">
        <f>Q95+2</f>
        <v>22</v>
      </c>
      <c r="R96" s="15"/>
      <c r="S96" s="15"/>
    </row>
    <row r="97" spans="1:19" x14ac:dyDescent="0.15">
      <c r="A97" s="23">
        <v>14</v>
      </c>
      <c r="B97" s="17">
        <f t="shared" si="35"/>
        <v>17</v>
      </c>
      <c r="C97" s="23">
        <f>C96+2</f>
        <v>20</v>
      </c>
      <c r="D97" s="23">
        <f>D96+3</f>
        <v>23</v>
      </c>
      <c r="E97" s="23">
        <v>646.13</v>
      </c>
      <c r="F97" s="23">
        <v>1.32</v>
      </c>
      <c r="G97" s="23">
        <f t="shared" si="26"/>
        <v>489.49242424242419</v>
      </c>
      <c r="H97" s="15">
        <v>5</v>
      </c>
      <c r="I97" s="15">
        <v>6</v>
      </c>
      <c r="J97" s="15">
        <f t="shared" si="33"/>
        <v>16</v>
      </c>
      <c r="K97" s="15">
        <f t="shared" si="34"/>
        <v>17</v>
      </c>
      <c r="L97" s="15">
        <v>-8.48</v>
      </c>
      <c r="M97" s="15">
        <v>1.45</v>
      </c>
      <c r="N97" s="15">
        <f t="shared" si="29"/>
        <v>-5.8482758620689657</v>
      </c>
      <c r="O97" s="15">
        <v>16</v>
      </c>
      <c r="P97" s="15">
        <f>P96+1</f>
        <v>20</v>
      </c>
      <c r="Q97" s="15">
        <f>Q96+2</f>
        <v>24</v>
      </c>
      <c r="R97" s="15"/>
      <c r="S97" s="15"/>
    </row>
    <row r="98" spans="1:19" x14ac:dyDescent="0.15">
      <c r="A98" s="23">
        <v>14</v>
      </c>
      <c r="B98" s="17">
        <f t="shared" si="35"/>
        <v>18</v>
      </c>
      <c r="C98" s="23">
        <f>C97+2</f>
        <v>22</v>
      </c>
      <c r="D98" s="23">
        <v>2</v>
      </c>
      <c r="E98" s="23">
        <v>374.94</v>
      </c>
      <c r="F98" s="23">
        <v>1.08</v>
      </c>
      <c r="G98" s="23">
        <f t="shared" si="26"/>
        <v>347.16666666666663</v>
      </c>
      <c r="H98" s="15">
        <v>5</v>
      </c>
      <c r="I98" s="15">
        <v>6</v>
      </c>
      <c r="J98" s="15">
        <f t="shared" si="33"/>
        <v>17</v>
      </c>
      <c r="K98" s="15">
        <f t="shared" si="34"/>
        <v>18</v>
      </c>
      <c r="L98" s="15">
        <v>-6.31</v>
      </c>
      <c r="M98" s="15">
        <v>1.43</v>
      </c>
      <c r="N98" s="15">
        <f t="shared" si="29"/>
        <v>-4.4125874125874125</v>
      </c>
      <c r="O98" s="15">
        <v>16</v>
      </c>
      <c r="P98" s="15">
        <f>P97+1</f>
        <v>21</v>
      </c>
      <c r="Q98" s="15">
        <v>2</v>
      </c>
      <c r="R98" s="15"/>
      <c r="S98" s="15"/>
    </row>
    <row r="99" spans="1:19" x14ac:dyDescent="0.15">
      <c r="A99" s="23">
        <v>14</v>
      </c>
      <c r="B99" s="17">
        <f t="shared" si="35"/>
        <v>19</v>
      </c>
      <c r="C99" s="23">
        <f>C98+2</f>
        <v>24</v>
      </c>
      <c r="D99" s="23">
        <f>D98+3</f>
        <v>5</v>
      </c>
      <c r="E99" s="23">
        <v>337.96</v>
      </c>
      <c r="F99" s="23">
        <v>1.31</v>
      </c>
      <c r="G99" s="23">
        <f t="shared" si="26"/>
        <v>257.98473282442745</v>
      </c>
      <c r="H99" s="15">
        <v>5</v>
      </c>
      <c r="I99" s="15">
        <v>6</v>
      </c>
      <c r="J99" s="15">
        <f t="shared" si="33"/>
        <v>18</v>
      </c>
      <c r="K99" s="15">
        <f t="shared" si="34"/>
        <v>19</v>
      </c>
      <c r="L99" s="15">
        <v>-7.9</v>
      </c>
      <c r="M99" s="15">
        <v>1.46</v>
      </c>
      <c r="N99" s="15">
        <f t="shared" si="29"/>
        <v>-5.4109589041095898</v>
      </c>
      <c r="O99" s="15">
        <v>16</v>
      </c>
      <c r="P99" s="15">
        <f>P98+1</f>
        <v>22</v>
      </c>
      <c r="Q99" s="15">
        <f>Q98+2</f>
        <v>4</v>
      </c>
      <c r="R99" s="15"/>
      <c r="S99" s="15"/>
    </row>
    <row r="100" spans="1:19" x14ac:dyDescent="0.15">
      <c r="A100" s="23">
        <v>14</v>
      </c>
      <c r="B100" s="17">
        <f t="shared" si="35"/>
        <v>20</v>
      </c>
      <c r="C100" s="23">
        <v>2</v>
      </c>
      <c r="D100" s="23">
        <f>D99+3</f>
        <v>8</v>
      </c>
      <c r="E100" s="23">
        <v>215.07</v>
      </c>
      <c r="F100" s="23">
        <v>1.23</v>
      </c>
      <c r="G100" s="23">
        <f t="shared" ref="G100:G131" si="36">E100/F100</f>
        <v>174.85365853658536</v>
      </c>
      <c r="H100" s="15">
        <v>5</v>
      </c>
      <c r="I100" s="15">
        <v>6</v>
      </c>
      <c r="J100" s="15">
        <f t="shared" si="33"/>
        <v>19</v>
      </c>
      <c r="K100" s="15">
        <f t="shared" si="34"/>
        <v>20</v>
      </c>
      <c r="L100" s="15">
        <v>-7.52</v>
      </c>
      <c r="M100" s="15">
        <v>1.43</v>
      </c>
      <c r="N100" s="15">
        <f t="shared" si="29"/>
        <v>-5.2587412587412583</v>
      </c>
      <c r="O100" s="15">
        <v>17</v>
      </c>
      <c r="P100" s="15">
        <v>18</v>
      </c>
      <c r="Q100" s="15">
        <v>19</v>
      </c>
      <c r="R100" s="15"/>
      <c r="S100" s="15"/>
    </row>
    <row r="101" spans="1:19" x14ac:dyDescent="0.15">
      <c r="A101" s="23">
        <v>14</v>
      </c>
      <c r="B101" s="17">
        <f t="shared" si="35"/>
        <v>21</v>
      </c>
      <c r="C101" s="23">
        <f>C100+2</f>
        <v>4</v>
      </c>
      <c r="D101" s="23">
        <f>D100+3</f>
        <v>11</v>
      </c>
      <c r="E101" s="23">
        <v>114.99</v>
      </c>
      <c r="F101" s="23">
        <v>1.2</v>
      </c>
      <c r="G101" s="23">
        <f t="shared" si="36"/>
        <v>95.825000000000003</v>
      </c>
      <c r="H101" s="15">
        <v>5</v>
      </c>
      <c r="I101" s="15">
        <v>6</v>
      </c>
      <c r="J101" s="15">
        <f t="shared" si="33"/>
        <v>20</v>
      </c>
      <c r="K101" s="15">
        <f t="shared" si="34"/>
        <v>21</v>
      </c>
      <c r="L101" s="15">
        <v>-9.01</v>
      </c>
      <c r="M101" s="15">
        <v>1.44</v>
      </c>
      <c r="N101" s="15">
        <f t="shared" si="29"/>
        <v>-6.2569444444444446</v>
      </c>
      <c r="O101" s="15">
        <v>17</v>
      </c>
      <c r="P101" s="15">
        <f>P100+1</f>
        <v>19</v>
      </c>
      <c r="Q101" s="15">
        <f>Q100+2</f>
        <v>21</v>
      </c>
      <c r="R101" s="15"/>
      <c r="S101" s="15"/>
    </row>
    <row r="102" spans="1:19" x14ac:dyDescent="0.15">
      <c r="A102" s="23">
        <v>15</v>
      </c>
      <c r="B102" s="17">
        <f>A102+1</f>
        <v>16</v>
      </c>
      <c r="C102" s="23">
        <f>B102+1</f>
        <v>17</v>
      </c>
      <c r="D102" s="23">
        <f>C102+1</f>
        <v>18</v>
      </c>
      <c r="E102" s="23">
        <v>1884.26</v>
      </c>
      <c r="F102" s="23">
        <v>1.5</v>
      </c>
      <c r="G102" s="23">
        <f t="shared" si="36"/>
        <v>1256.1733333333334</v>
      </c>
      <c r="H102" s="15">
        <v>5</v>
      </c>
      <c r="I102" s="15">
        <v>6</v>
      </c>
      <c r="J102" s="15">
        <f t="shared" si="33"/>
        <v>21</v>
      </c>
      <c r="K102" s="15">
        <f t="shared" si="34"/>
        <v>22</v>
      </c>
      <c r="L102" s="15">
        <v>-10.98</v>
      </c>
      <c r="M102" s="15">
        <v>1.42</v>
      </c>
      <c r="N102" s="15">
        <f t="shared" si="29"/>
        <v>-7.7323943661971839</v>
      </c>
      <c r="O102" s="15">
        <v>17</v>
      </c>
      <c r="P102" s="15">
        <f>P101+1</f>
        <v>20</v>
      </c>
      <c r="Q102" s="15">
        <f>Q101+2</f>
        <v>23</v>
      </c>
      <c r="R102" s="15"/>
      <c r="S102" s="15"/>
    </row>
    <row r="103" spans="1:19" x14ac:dyDescent="0.15">
      <c r="A103" s="23">
        <v>15</v>
      </c>
      <c r="B103" s="17">
        <f t="shared" ref="B103:B108" si="37">B102+1</f>
        <v>17</v>
      </c>
      <c r="C103" s="23">
        <f>C102+2</f>
        <v>19</v>
      </c>
      <c r="D103" s="23">
        <f>D102+3</f>
        <v>21</v>
      </c>
      <c r="E103" s="23">
        <v>1035.5899999999999</v>
      </c>
      <c r="F103" s="23">
        <v>1.52</v>
      </c>
      <c r="G103" s="23">
        <f t="shared" si="36"/>
        <v>681.30921052631572</v>
      </c>
      <c r="H103" s="15">
        <v>5</v>
      </c>
      <c r="I103" s="15">
        <v>6</v>
      </c>
      <c r="J103" s="15">
        <f t="shared" si="33"/>
        <v>22</v>
      </c>
      <c r="K103" s="15">
        <f t="shared" si="34"/>
        <v>23</v>
      </c>
      <c r="L103" s="15">
        <v>-14.44</v>
      </c>
      <c r="M103" s="15">
        <v>1.42</v>
      </c>
      <c r="N103" s="15">
        <f t="shared" si="29"/>
        <v>-10.169014084507042</v>
      </c>
      <c r="O103" s="15">
        <v>17</v>
      </c>
      <c r="P103" s="15">
        <f>P102+1</f>
        <v>21</v>
      </c>
      <c r="Q103" s="15">
        <v>1</v>
      </c>
      <c r="R103" s="15"/>
      <c r="S103" s="15"/>
    </row>
    <row r="104" spans="1:19" x14ac:dyDescent="0.15">
      <c r="A104" s="23">
        <v>15</v>
      </c>
      <c r="B104" s="17">
        <f t="shared" si="37"/>
        <v>18</v>
      </c>
      <c r="C104" s="23">
        <f>C103+2</f>
        <v>21</v>
      </c>
      <c r="D104" s="23">
        <f>D103+3</f>
        <v>24</v>
      </c>
      <c r="E104" s="23">
        <v>732.3</v>
      </c>
      <c r="F104" s="23">
        <v>1.51</v>
      </c>
      <c r="G104" s="23">
        <f t="shared" si="36"/>
        <v>484.96688741721852</v>
      </c>
      <c r="H104" s="15">
        <v>5</v>
      </c>
      <c r="I104" s="15">
        <v>6</v>
      </c>
      <c r="J104" s="15">
        <f t="shared" si="33"/>
        <v>23</v>
      </c>
      <c r="K104" s="15">
        <f t="shared" si="34"/>
        <v>24</v>
      </c>
      <c r="L104" s="15">
        <v>-22.14</v>
      </c>
      <c r="M104" s="15">
        <v>1.46</v>
      </c>
      <c r="N104" s="15">
        <f t="shared" si="29"/>
        <v>-15.164383561643836</v>
      </c>
      <c r="O104" s="15">
        <v>17</v>
      </c>
      <c r="P104" s="15">
        <f>P103+1</f>
        <v>22</v>
      </c>
      <c r="Q104" s="15">
        <f>Q103+2</f>
        <v>3</v>
      </c>
      <c r="R104" s="15"/>
      <c r="S104" s="15"/>
    </row>
    <row r="105" spans="1:19" x14ac:dyDescent="0.15">
      <c r="A105" s="23">
        <v>15</v>
      </c>
      <c r="B105" s="17">
        <f t="shared" si="37"/>
        <v>19</v>
      </c>
      <c r="C105" s="23">
        <f>C104+2</f>
        <v>23</v>
      </c>
      <c r="D105" s="23">
        <v>3</v>
      </c>
      <c r="E105" s="23">
        <v>541.21</v>
      </c>
      <c r="F105" s="23">
        <v>1.54</v>
      </c>
      <c r="G105" s="23">
        <f t="shared" si="36"/>
        <v>351.43506493506493</v>
      </c>
      <c r="H105" s="15">
        <v>5</v>
      </c>
      <c r="I105" s="15">
        <v>6</v>
      </c>
      <c r="J105" s="15">
        <f>J104+1</f>
        <v>24</v>
      </c>
      <c r="K105" s="15">
        <v>1</v>
      </c>
      <c r="L105" s="15">
        <v>-31.88</v>
      </c>
      <c r="M105" s="15">
        <v>1.46</v>
      </c>
      <c r="N105" s="15">
        <f t="shared" si="29"/>
        <v>-21.835616438356166</v>
      </c>
      <c r="O105" s="15">
        <v>17</v>
      </c>
      <c r="P105" s="15">
        <f>P104+1</f>
        <v>23</v>
      </c>
      <c r="Q105" s="15">
        <f>Q104+2</f>
        <v>5</v>
      </c>
      <c r="R105" s="15"/>
      <c r="S105" s="15"/>
    </row>
    <row r="106" spans="1:19" x14ac:dyDescent="0.15">
      <c r="A106" s="23">
        <v>15</v>
      </c>
      <c r="B106" s="17">
        <f t="shared" si="37"/>
        <v>20</v>
      </c>
      <c r="C106" s="23">
        <v>1</v>
      </c>
      <c r="D106" s="23">
        <f>D105+3</f>
        <v>6</v>
      </c>
      <c r="E106" s="23">
        <v>387.67</v>
      </c>
      <c r="F106" s="23">
        <v>1.51</v>
      </c>
      <c r="G106" s="23">
        <f t="shared" si="36"/>
        <v>256.73509933774835</v>
      </c>
      <c r="H106" s="15">
        <v>5</v>
      </c>
      <c r="I106" s="15">
        <v>6</v>
      </c>
      <c r="J106" s="15">
        <v>1</v>
      </c>
      <c r="K106" s="15">
        <f>K105+1</f>
        <v>2</v>
      </c>
      <c r="L106" s="15">
        <v>-61.32</v>
      </c>
      <c r="M106" s="15">
        <v>1.42</v>
      </c>
      <c r="N106" s="15">
        <f t="shared" si="29"/>
        <v>-43.183098591549296</v>
      </c>
      <c r="O106" s="15">
        <v>18</v>
      </c>
      <c r="P106" s="15">
        <v>19</v>
      </c>
      <c r="Q106" s="15">
        <v>20</v>
      </c>
      <c r="R106" s="15"/>
      <c r="S106" s="15"/>
    </row>
    <row r="107" spans="1:19" x14ac:dyDescent="0.15">
      <c r="A107" s="23">
        <v>15</v>
      </c>
      <c r="B107" s="17">
        <f t="shared" si="37"/>
        <v>21</v>
      </c>
      <c r="C107" s="23">
        <f>C106+2</f>
        <v>3</v>
      </c>
      <c r="D107" s="23">
        <f>D106+3</f>
        <v>9</v>
      </c>
      <c r="E107" s="23">
        <v>278.19</v>
      </c>
      <c r="F107" s="23">
        <v>1.52</v>
      </c>
      <c r="G107" s="23">
        <f t="shared" si="36"/>
        <v>183.01973684210526</v>
      </c>
      <c r="H107" s="15">
        <v>5</v>
      </c>
      <c r="I107" s="15">
        <v>6</v>
      </c>
      <c r="J107" s="15">
        <f>J106+1</f>
        <v>2</v>
      </c>
      <c r="K107" s="15">
        <f>K106+1</f>
        <v>3</v>
      </c>
      <c r="L107" s="15">
        <v>-143.71</v>
      </c>
      <c r="M107" s="15">
        <v>1.43</v>
      </c>
      <c r="N107" s="15">
        <f t="shared" si="29"/>
        <v>-100.49650349650351</v>
      </c>
      <c r="O107" s="15">
        <v>18</v>
      </c>
      <c r="P107" s="15">
        <f>P106+1</f>
        <v>20</v>
      </c>
      <c r="Q107" s="15">
        <f>Q106+2</f>
        <v>22</v>
      </c>
      <c r="R107" s="15"/>
      <c r="S107" s="15"/>
    </row>
    <row r="108" spans="1:19" x14ac:dyDescent="0.15">
      <c r="A108" s="23">
        <v>15</v>
      </c>
      <c r="B108" s="17">
        <f t="shared" si="37"/>
        <v>22</v>
      </c>
      <c r="C108" s="23">
        <f>C107+2</f>
        <v>5</v>
      </c>
      <c r="D108" s="23">
        <f>D107+3</f>
        <v>12</v>
      </c>
      <c r="E108" s="23">
        <v>145.51</v>
      </c>
      <c r="F108" s="23">
        <v>1.46</v>
      </c>
      <c r="G108" s="23">
        <f t="shared" si="36"/>
        <v>99.664383561643831</v>
      </c>
      <c r="H108" s="15">
        <v>5</v>
      </c>
      <c r="I108" s="15">
        <v>6</v>
      </c>
      <c r="J108" s="15">
        <f>J107+1</f>
        <v>3</v>
      </c>
      <c r="K108" s="15">
        <f>K107+1</f>
        <v>4</v>
      </c>
      <c r="L108" s="15">
        <v>-550.35</v>
      </c>
      <c r="M108" s="15">
        <v>1.42</v>
      </c>
      <c r="N108" s="15">
        <f t="shared" si="29"/>
        <v>-387.57042253521132</v>
      </c>
      <c r="O108" s="15">
        <v>18</v>
      </c>
      <c r="P108" s="15">
        <f>P107+1</f>
        <v>21</v>
      </c>
      <c r="Q108" s="15">
        <f>Q107+2</f>
        <v>24</v>
      </c>
      <c r="R108" s="15"/>
      <c r="S108" s="15"/>
    </row>
    <row r="109" spans="1:19" x14ac:dyDescent="0.15">
      <c r="A109" s="23">
        <v>16</v>
      </c>
      <c r="B109" s="17">
        <f>A109+1</f>
        <v>17</v>
      </c>
      <c r="C109" s="23">
        <f>B109+1</f>
        <v>18</v>
      </c>
      <c r="D109" s="23">
        <f>C109+1</f>
        <v>19</v>
      </c>
      <c r="E109" s="23">
        <v>1756.57</v>
      </c>
      <c r="F109" s="23">
        <v>1.49</v>
      </c>
      <c r="G109" s="23">
        <f t="shared" si="36"/>
        <v>1178.9060402684563</v>
      </c>
      <c r="H109" s="15">
        <v>6</v>
      </c>
      <c r="I109" s="15">
        <v>7</v>
      </c>
      <c r="J109" s="15">
        <f>I109+1</f>
        <v>8</v>
      </c>
      <c r="K109" s="15">
        <f>J109+1</f>
        <v>9</v>
      </c>
      <c r="L109" s="15">
        <v>-505.88</v>
      </c>
      <c r="M109" s="15">
        <v>1.34</v>
      </c>
      <c r="N109" s="15">
        <f t="shared" si="29"/>
        <v>-377.52238805970148</v>
      </c>
      <c r="O109" s="15">
        <v>18</v>
      </c>
      <c r="P109" s="15">
        <f>P108+1</f>
        <v>22</v>
      </c>
      <c r="Q109" s="15">
        <v>2</v>
      </c>
      <c r="R109" s="15"/>
      <c r="S109" s="15"/>
    </row>
    <row r="110" spans="1:19" x14ac:dyDescent="0.15">
      <c r="A110" s="23">
        <v>16</v>
      </c>
      <c r="B110" s="17">
        <f t="shared" ref="B110:B115" si="38">B109+1</f>
        <v>18</v>
      </c>
      <c r="C110" s="23">
        <f>C109+2</f>
        <v>20</v>
      </c>
      <c r="D110" s="23">
        <f>D109+3</f>
        <v>22</v>
      </c>
      <c r="E110" s="23">
        <v>947.2</v>
      </c>
      <c r="F110" s="23">
        <v>1.38</v>
      </c>
      <c r="G110" s="23">
        <f t="shared" si="36"/>
        <v>686.37681159420299</v>
      </c>
      <c r="H110" s="15">
        <v>6</v>
      </c>
      <c r="I110" s="15">
        <v>7</v>
      </c>
      <c r="J110" s="15">
        <f t="shared" ref="J110:J124" si="39">J109+1</f>
        <v>9</v>
      </c>
      <c r="K110" s="15">
        <f t="shared" ref="K110:K124" si="40">K109+1</f>
        <v>10</v>
      </c>
      <c r="L110" s="15">
        <v>-141.9</v>
      </c>
      <c r="M110" s="15">
        <v>1.33</v>
      </c>
      <c r="N110" s="15">
        <f t="shared" si="29"/>
        <v>-106.69172932330827</v>
      </c>
      <c r="O110" s="15">
        <v>18</v>
      </c>
      <c r="P110" s="15">
        <f>P109+1</f>
        <v>23</v>
      </c>
      <c r="Q110" s="15">
        <f>Q109+2</f>
        <v>4</v>
      </c>
      <c r="R110" s="15"/>
      <c r="S110" s="15"/>
    </row>
    <row r="111" spans="1:19" x14ac:dyDescent="0.15">
      <c r="A111" s="23">
        <v>16</v>
      </c>
      <c r="B111" s="17">
        <f t="shared" si="38"/>
        <v>19</v>
      </c>
      <c r="C111" s="23">
        <f>C110+2</f>
        <v>22</v>
      </c>
      <c r="D111" s="23">
        <v>1</v>
      </c>
      <c r="E111" s="23">
        <v>667.19</v>
      </c>
      <c r="F111" s="23">
        <v>1.45</v>
      </c>
      <c r="G111" s="23">
        <f t="shared" si="36"/>
        <v>460.13103448275865</v>
      </c>
      <c r="H111" s="15">
        <v>6</v>
      </c>
      <c r="I111" s="15">
        <v>7</v>
      </c>
      <c r="J111" s="15">
        <f t="shared" si="39"/>
        <v>10</v>
      </c>
      <c r="K111" s="15">
        <f t="shared" si="40"/>
        <v>11</v>
      </c>
      <c r="L111" s="15">
        <v>-58.28</v>
      </c>
      <c r="M111" s="15">
        <v>1.38</v>
      </c>
      <c r="N111" s="15">
        <f t="shared" si="29"/>
        <v>-42.231884057971016</v>
      </c>
      <c r="O111" s="15">
        <v>18</v>
      </c>
      <c r="P111" s="15">
        <f>P110+1</f>
        <v>24</v>
      </c>
      <c r="Q111" s="15">
        <f>Q110+2</f>
        <v>6</v>
      </c>
      <c r="R111" s="15"/>
      <c r="S111" s="15"/>
    </row>
    <row r="112" spans="1:19" x14ac:dyDescent="0.15">
      <c r="A112" s="23">
        <v>16</v>
      </c>
      <c r="B112" s="17">
        <f t="shared" si="38"/>
        <v>20</v>
      </c>
      <c r="C112" s="23">
        <f>C111+2</f>
        <v>24</v>
      </c>
      <c r="D112" s="23">
        <v>4</v>
      </c>
      <c r="E112" s="23">
        <v>432.69</v>
      </c>
      <c r="F112" s="23">
        <v>1.28</v>
      </c>
      <c r="G112" s="23">
        <f t="shared" si="36"/>
        <v>338.0390625</v>
      </c>
      <c r="H112" s="15">
        <v>6</v>
      </c>
      <c r="I112" s="15">
        <v>7</v>
      </c>
      <c r="J112" s="15">
        <f t="shared" si="39"/>
        <v>11</v>
      </c>
      <c r="K112" s="15">
        <f t="shared" si="40"/>
        <v>12</v>
      </c>
      <c r="L112" s="15">
        <v>-33.18</v>
      </c>
      <c r="M112" s="15">
        <v>1.37</v>
      </c>
      <c r="N112" s="15">
        <f t="shared" si="29"/>
        <v>-24.21897810218978</v>
      </c>
      <c r="O112" s="15">
        <v>19</v>
      </c>
      <c r="P112" s="15">
        <v>20</v>
      </c>
      <c r="Q112" s="15">
        <v>21</v>
      </c>
      <c r="R112" s="15"/>
      <c r="S112" s="15"/>
    </row>
    <row r="113" spans="1:19" x14ac:dyDescent="0.15">
      <c r="A113" s="23">
        <v>16</v>
      </c>
      <c r="B113" s="17">
        <f t="shared" si="38"/>
        <v>21</v>
      </c>
      <c r="C113" s="23">
        <v>2</v>
      </c>
      <c r="D113" s="23">
        <f>D112+3</f>
        <v>7</v>
      </c>
      <c r="E113" s="23">
        <v>323.24</v>
      </c>
      <c r="F113" s="23">
        <v>1.32</v>
      </c>
      <c r="G113" s="23">
        <f t="shared" si="36"/>
        <v>244.87878787878788</v>
      </c>
      <c r="H113" s="15">
        <v>6</v>
      </c>
      <c r="I113" s="15">
        <v>7</v>
      </c>
      <c r="J113" s="15">
        <f t="shared" si="39"/>
        <v>12</v>
      </c>
      <c r="K113" s="15">
        <f t="shared" si="40"/>
        <v>13</v>
      </c>
      <c r="L113" s="15">
        <v>-19.32</v>
      </c>
      <c r="M113" s="15">
        <v>1.37</v>
      </c>
      <c r="N113" s="15">
        <f t="shared" si="29"/>
        <v>-14.102189781021897</v>
      </c>
      <c r="O113" s="15">
        <v>19</v>
      </c>
      <c r="P113" s="15">
        <f>P112+1</f>
        <v>21</v>
      </c>
      <c r="Q113" s="15">
        <f>Q112+2</f>
        <v>23</v>
      </c>
      <c r="R113" s="15"/>
      <c r="S113" s="15"/>
    </row>
    <row r="114" spans="1:19" x14ac:dyDescent="0.15">
      <c r="A114" s="23">
        <v>16</v>
      </c>
      <c r="B114" s="17">
        <f t="shared" si="38"/>
        <v>22</v>
      </c>
      <c r="C114" s="23">
        <f>C113+2</f>
        <v>4</v>
      </c>
      <c r="D114" s="23">
        <f>D113+3</f>
        <v>10</v>
      </c>
      <c r="E114" s="23">
        <v>180</v>
      </c>
      <c r="F114" s="23">
        <v>1.03</v>
      </c>
      <c r="G114" s="23">
        <f t="shared" si="36"/>
        <v>174.75728155339806</v>
      </c>
      <c r="H114" s="15">
        <v>6</v>
      </c>
      <c r="I114" s="15">
        <v>7</v>
      </c>
      <c r="J114" s="15">
        <f t="shared" si="39"/>
        <v>13</v>
      </c>
      <c r="K114" s="15">
        <f t="shared" si="40"/>
        <v>14</v>
      </c>
      <c r="L114" s="15">
        <v>-12.94</v>
      </c>
      <c r="M114" s="15">
        <v>1.34</v>
      </c>
      <c r="N114" s="15">
        <f t="shared" si="29"/>
        <v>-9.656716417910447</v>
      </c>
      <c r="O114" s="15">
        <v>19</v>
      </c>
      <c r="P114" s="15">
        <f>P113+1</f>
        <v>22</v>
      </c>
      <c r="Q114" s="15">
        <v>1</v>
      </c>
      <c r="R114" s="15"/>
      <c r="S114" s="15"/>
    </row>
    <row r="115" spans="1:19" x14ac:dyDescent="0.15">
      <c r="A115" s="23">
        <v>16</v>
      </c>
      <c r="B115" s="17">
        <f t="shared" si="38"/>
        <v>23</v>
      </c>
      <c r="C115" s="23">
        <f>C114+2</f>
        <v>6</v>
      </c>
      <c r="D115" s="23">
        <f>D114+3</f>
        <v>13</v>
      </c>
      <c r="E115" s="23">
        <v>160.54</v>
      </c>
      <c r="F115" s="23">
        <v>1.6</v>
      </c>
      <c r="G115" s="23">
        <f t="shared" si="36"/>
        <v>100.33749999999999</v>
      </c>
      <c r="H115" s="15">
        <v>6</v>
      </c>
      <c r="I115" s="15">
        <v>7</v>
      </c>
      <c r="J115" s="15">
        <f t="shared" si="39"/>
        <v>14</v>
      </c>
      <c r="K115" s="15">
        <f t="shared" si="40"/>
        <v>15</v>
      </c>
      <c r="L115" s="15">
        <v>-9.49</v>
      </c>
      <c r="M115" s="15">
        <v>1.4</v>
      </c>
      <c r="N115" s="15">
        <f t="shared" si="29"/>
        <v>-6.7785714285714294</v>
      </c>
      <c r="O115" s="15">
        <v>19</v>
      </c>
      <c r="P115" s="15">
        <f>P114+1</f>
        <v>23</v>
      </c>
      <c r="Q115" s="15">
        <f>Q114+2</f>
        <v>3</v>
      </c>
      <c r="R115" s="15"/>
      <c r="S115" s="15"/>
    </row>
    <row r="116" spans="1:19" x14ac:dyDescent="0.15">
      <c r="A116" s="23">
        <v>17</v>
      </c>
      <c r="B116" s="17">
        <f>A116+1</f>
        <v>18</v>
      </c>
      <c r="C116" s="23">
        <f>B116+1</f>
        <v>19</v>
      </c>
      <c r="D116" s="23">
        <f>C116+1</f>
        <v>20</v>
      </c>
      <c r="E116" s="23">
        <v>1198.3800000000001</v>
      </c>
      <c r="F116" s="23">
        <v>0.95</v>
      </c>
      <c r="G116" s="23">
        <f t="shared" si="36"/>
        <v>1261.4526315789476</v>
      </c>
      <c r="H116" s="15">
        <v>6</v>
      </c>
      <c r="I116" s="15">
        <v>7</v>
      </c>
      <c r="J116" s="15">
        <f t="shared" si="39"/>
        <v>15</v>
      </c>
      <c r="K116" s="15">
        <f t="shared" si="40"/>
        <v>16</v>
      </c>
      <c r="L116" s="15">
        <v>-8.82</v>
      </c>
      <c r="M116" s="15">
        <v>1.39</v>
      </c>
      <c r="N116" s="15">
        <f t="shared" si="29"/>
        <v>-6.3453237410071948</v>
      </c>
      <c r="O116" s="15">
        <v>19</v>
      </c>
      <c r="P116" s="15">
        <f>P115+1</f>
        <v>24</v>
      </c>
      <c r="Q116" s="15">
        <f>Q115+2</f>
        <v>5</v>
      </c>
      <c r="R116" s="15"/>
      <c r="S116" s="15"/>
    </row>
    <row r="117" spans="1:19" x14ac:dyDescent="0.15">
      <c r="A117" s="23">
        <v>17</v>
      </c>
      <c r="B117" s="17">
        <f t="shared" ref="B117:B122" si="41">B116+1</f>
        <v>19</v>
      </c>
      <c r="C117" s="23">
        <f>C116+2</f>
        <v>21</v>
      </c>
      <c r="D117" s="23">
        <f>D116+3</f>
        <v>23</v>
      </c>
      <c r="E117" s="23">
        <v>771.07</v>
      </c>
      <c r="F117" s="23">
        <v>1.22</v>
      </c>
      <c r="G117" s="23">
        <f t="shared" si="36"/>
        <v>632.02459016393448</v>
      </c>
      <c r="H117" s="15">
        <v>6</v>
      </c>
      <c r="I117" s="15">
        <v>7</v>
      </c>
      <c r="J117" s="15">
        <f t="shared" si="39"/>
        <v>16</v>
      </c>
      <c r="K117" s="15">
        <f t="shared" si="40"/>
        <v>17</v>
      </c>
      <c r="L117" s="15">
        <v>-7.39</v>
      </c>
      <c r="M117" s="15">
        <v>1.38</v>
      </c>
      <c r="N117" s="15">
        <f t="shared" si="29"/>
        <v>-5.3550724637681162</v>
      </c>
      <c r="O117" s="15">
        <v>19</v>
      </c>
      <c r="P117" s="15">
        <v>1</v>
      </c>
      <c r="Q117" s="15">
        <f>Q116+2</f>
        <v>7</v>
      </c>
      <c r="R117" s="15"/>
      <c r="S117" s="15"/>
    </row>
    <row r="118" spans="1:19" x14ac:dyDescent="0.15">
      <c r="A118" s="23">
        <v>17</v>
      </c>
      <c r="B118" s="17">
        <f t="shared" si="41"/>
        <v>20</v>
      </c>
      <c r="C118" s="23">
        <f>C117+2</f>
        <v>23</v>
      </c>
      <c r="D118" s="23">
        <v>2</v>
      </c>
      <c r="E118" s="23">
        <v>427.79</v>
      </c>
      <c r="F118" s="23">
        <v>0.93</v>
      </c>
      <c r="G118" s="23">
        <f t="shared" si="36"/>
        <v>459.98924731182797</v>
      </c>
      <c r="H118" s="15">
        <v>6</v>
      </c>
      <c r="I118" s="15">
        <v>7</v>
      </c>
      <c r="J118" s="15">
        <f t="shared" si="39"/>
        <v>17</v>
      </c>
      <c r="K118" s="15">
        <f t="shared" si="40"/>
        <v>18</v>
      </c>
      <c r="L118" s="15">
        <v>-6.9</v>
      </c>
      <c r="M118" s="15">
        <v>1.41</v>
      </c>
      <c r="N118" s="15">
        <f t="shared" si="29"/>
        <v>-4.8936170212765964</v>
      </c>
      <c r="O118" s="15">
        <v>20</v>
      </c>
      <c r="P118" s="15">
        <v>21</v>
      </c>
      <c r="Q118" s="15">
        <v>22</v>
      </c>
      <c r="R118" s="15"/>
      <c r="S118" s="15"/>
    </row>
    <row r="119" spans="1:19" x14ac:dyDescent="0.15">
      <c r="A119" s="23">
        <v>17</v>
      </c>
      <c r="B119" s="17">
        <f t="shared" si="41"/>
        <v>21</v>
      </c>
      <c r="C119" s="23">
        <v>1</v>
      </c>
      <c r="D119" s="23">
        <f>D118+3</f>
        <v>5</v>
      </c>
      <c r="E119" s="23">
        <v>349.18</v>
      </c>
      <c r="F119" s="23">
        <v>1.07</v>
      </c>
      <c r="G119" s="23">
        <f t="shared" si="36"/>
        <v>326.3364485981308</v>
      </c>
      <c r="H119" s="15">
        <v>6</v>
      </c>
      <c r="I119" s="15">
        <v>7</v>
      </c>
      <c r="J119" s="15">
        <f t="shared" si="39"/>
        <v>18</v>
      </c>
      <c r="K119" s="15">
        <f t="shared" si="40"/>
        <v>19</v>
      </c>
      <c r="L119" s="15">
        <v>-6.69</v>
      </c>
      <c r="M119" s="15">
        <v>1.4</v>
      </c>
      <c r="N119" s="15">
        <f t="shared" si="29"/>
        <v>-4.7785714285714294</v>
      </c>
      <c r="O119" s="15">
        <v>20</v>
      </c>
      <c r="P119" s="15">
        <f>P118+1</f>
        <v>22</v>
      </c>
      <c r="Q119" s="15">
        <f>Q118+2</f>
        <v>24</v>
      </c>
      <c r="R119" s="15"/>
      <c r="S119" s="15"/>
    </row>
    <row r="120" spans="1:19" x14ac:dyDescent="0.15">
      <c r="A120" s="23">
        <v>17</v>
      </c>
      <c r="B120" s="17">
        <f t="shared" si="41"/>
        <v>22</v>
      </c>
      <c r="C120" s="23">
        <f>C119+2</f>
        <v>3</v>
      </c>
      <c r="D120" s="23">
        <f>D119+3</f>
        <v>8</v>
      </c>
      <c r="E120" s="23">
        <v>253.41</v>
      </c>
      <c r="F120" s="23">
        <v>1.03</v>
      </c>
      <c r="G120" s="23">
        <f t="shared" si="36"/>
        <v>246.02912621359224</v>
      </c>
      <c r="H120" s="15">
        <v>6</v>
      </c>
      <c r="I120" s="15">
        <v>7</v>
      </c>
      <c r="J120" s="15">
        <f t="shared" si="39"/>
        <v>19</v>
      </c>
      <c r="K120" s="15">
        <f t="shared" si="40"/>
        <v>20</v>
      </c>
      <c r="L120" s="15">
        <v>-6.54</v>
      </c>
      <c r="M120" s="15">
        <v>1.4</v>
      </c>
      <c r="N120" s="15">
        <f t="shared" si="29"/>
        <v>-4.6714285714285717</v>
      </c>
      <c r="O120" s="15">
        <v>20</v>
      </c>
      <c r="P120" s="15">
        <f>P119+1</f>
        <v>23</v>
      </c>
      <c r="Q120" s="15">
        <v>2</v>
      </c>
      <c r="R120" s="15"/>
      <c r="S120" s="15"/>
    </row>
    <row r="121" spans="1:19" x14ac:dyDescent="0.15">
      <c r="A121" s="23">
        <v>17</v>
      </c>
      <c r="B121" s="17">
        <f t="shared" si="41"/>
        <v>23</v>
      </c>
      <c r="C121" s="23">
        <f>C120+2</f>
        <v>5</v>
      </c>
      <c r="D121" s="23">
        <f>D120+3</f>
        <v>11</v>
      </c>
      <c r="E121" s="23">
        <v>181.9</v>
      </c>
      <c r="F121" s="23">
        <v>1</v>
      </c>
      <c r="G121" s="23">
        <f t="shared" si="36"/>
        <v>181.9</v>
      </c>
      <c r="H121" s="15">
        <v>6</v>
      </c>
      <c r="I121" s="15">
        <v>7</v>
      </c>
      <c r="J121" s="15">
        <f t="shared" si="39"/>
        <v>20</v>
      </c>
      <c r="K121" s="15">
        <f t="shared" si="40"/>
        <v>21</v>
      </c>
      <c r="L121" s="15">
        <v>-8.2899999999999991</v>
      </c>
      <c r="M121" s="15">
        <v>1.41</v>
      </c>
      <c r="N121" s="15">
        <f t="shared" si="29"/>
        <v>-5.8794326241134751</v>
      </c>
      <c r="O121" s="15">
        <v>20</v>
      </c>
      <c r="P121" s="15">
        <f>P120+1</f>
        <v>24</v>
      </c>
      <c r="Q121" s="15">
        <f>Q120+2</f>
        <v>4</v>
      </c>
      <c r="R121" s="15"/>
      <c r="S121" s="15"/>
    </row>
    <row r="122" spans="1:19" x14ac:dyDescent="0.15">
      <c r="A122" s="23">
        <v>17</v>
      </c>
      <c r="B122" s="17">
        <f t="shared" si="41"/>
        <v>24</v>
      </c>
      <c r="C122" s="23">
        <f>C121+2</f>
        <v>7</v>
      </c>
      <c r="D122" s="23">
        <f>D121+3</f>
        <v>14</v>
      </c>
      <c r="E122" s="23">
        <v>98.79</v>
      </c>
      <c r="F122" s="23">
        <v>1.04</v>
      </c>
      <c r="G122" s="23">
        <f t="shared" si="36"/>
        <v>94.990384615384613</v>
      </c>
      <c r="H122" s="15">
        <v>6</v>
      </c>
      <c r="I122" s="15">
        <v>7</v>
      </c>
      <c r="J122" s="15">
        <f t="shared" si="39"/>
        <v>21</v>
      </c>
      <c r="K122" s="15">
        <f t="shared" si="40"/>
        <v>22</v>
      </c>
      <c r="L122" s="15">
        <v>-8.44</v>
      </c>
      <c r="M122" s="15">
        <v>1.42</v>
      </c>
      <c r="N122" s="15">
        <f t="shared" si="29"/>
        <v>-5.943661971830986</v>
      </c>
      <c r="O122" s="15">
        <v>20</v>
      </c>
      <c r="P122" s="15">
        <v>1</v>
      </c>
      <c r="Q122" s="15">
        <f>Q121+2</f>
        <v>6</v>
      </c>
      <c r="R122" s="15"/>
      <c r="S122" s="15"/>
    </row>
    <row r="123" spans="1:19" x14ac:dyDescent="0.15">
      <c r="A123" s="23">
        <v>18</v>
      </c>
      <c r="B123" s="17">
        <f>A123+1</f>
        <v>19</v>
      </c>
      <c r="C123" s="23">
        <f>B123+1</f>
        <v>20</v>
      </c>
      <c r="D123" s="23">
        <f>C123+1</f>
        <v>21</v>
      </c>
      <c r="E123" s="23">
        <v>1605.33</v>
      </c>
      <c r="F123" s="23">
        <v>1.34</v>
      </c>
      <c r="G123" s="23">
        <f t="shared" si="36"/>
        <v>1198.0074626865671</v>
      </c>
      <c r="H123" s="15">
        <v>6</v>
      </c>
      <c r="I123" s="15">
        <v>7</v>
      </c>
      <c r="J123" s="15">
        <f t="shared" si="39"/>
        <v>22</v>
      </c>
      <c r="K123" s="15">
        <f t="shared" si="40"/>
        <v>23</v>
      </c>
      <c r="L123" s="15">
        <v>-10.42</v>
      </c>
      <c r="M123" s="15">
        <v>1.4</v>
      </c>
      <c r="N123" s="15">
        <f t="shared" si="29"/>
        <v>-7.4428571428571431</v>
      </c>
      <c r="O123" s="15">
        <v>20</v>
      </c>
      <c r="P123" s="15">
        <f>P122+1</f>
        <v>2</v>
      </c>
      <c r="Q123" s="15">
        <f>Q122+2</f>
        <v>8</v>
      </c>
      <c r="R123" s="15"/>
      <c r="S123" s="15"/>
    </row>
    <row r="124" spans="1:19" x14ac:dyDescent="0.15">
      <c r="A124" s="23">
        <v>18</v>
      </c>
      <c r="B124" s="17">
        <f>B123+1</f>
        <v>20</v>
      </c>
      <c r="C124" s="23">
        <f>C123+2</f>
        <v>22</v>
      </c>
      <c r="D124" s="23">
        <f>D123+3</f>
        <v>24</v>
      </c>
      <c r="E124" s="23">
        <v>694.34</v>
      </c>
      <c r="F124" s="23">
        <v>1.04</v>
      </c>
      <c r="G124" s="23">
        <f t="shared" si="36"/>
        <v>667.63461538461536</v>
      </c>
      <c r="H124" s="15">
        <v>6</v>
      </c>
      <c r="I124" s="15">
        <v>7</v>
      </c>
      <c r="J124" s="15">
        <f t="shared" si="39"/>
        <v>23</v>
      </c>
      <c r="K124" s="15">
        <f t="shared" si="40"/>
        <v>24</v>
      </c>
      <c r="L124" s="15">
        <v>-13.31</v>
      </c>
      <c r="M124" s="15">
        <v>1.33</v>
      </c>
      <c r="N124" s="15">
        <f t="shared" si="29"/>
        <v>-10.007518796992482</v>
      </c>
      <c r="O124" s="15">
        <v>21</v>
      </c>
      <c r="P124" s="15">
        <v>22</v>
      </c>
      <c r="Q124" s="15">
        <v>23</v>
      </c>
      <c r="R124" s="15"/>
      <c r="S124" s="15"/>
    </row>
    <row r="125" spans="1:19" x14ac:dyDescent="0.15">
      <c r="A125" s="23">
        <v>18</v>
      </c>
      <c r="B125" s="17">
        <f>B124+1</f>
        <v>21</v>
      </c>
      <c r="C125" s="23">
        <f>C124+2</f>
        <v>24</v>
      </c>
      <c r="D125" s="23">
        <v>3</v>
      </c>
      <c r="E125" s="23">
        <v>637.92999999999995</v>
      </c>
      <c r="F125" s="23">
        <v>1.35</v>
      </c>
      <c r="G125" s="23">
        <f t="shared" si="36"/>
        <v>472.54074074074066</v>
      </c>
      <c r="H125" s="15">
        <v>6</v>
      </c>
      <c r="I125" s="15">
        <v>7</v>
      </c>
      <c r="J125" s="15">
        <f>J124+1</f>
        <v>24</v>
      </c>
      <c r="K125" s="15">
        <v>1</v>
      </c>
      <c r="L125" s="15">
        <v>-17.309999999999999</v>
      </c>
      <c r="M125" s="15">
        <v>1.33</v>
      </c>
      <c r="N125" s="15">
        <f t="shared" si="29"/>
        <v>-13.01503759398496</v>
      </c>
      <c r="O125" s="15">
        <v>21</v>
      </c>
      <c r="P125" s="15">
        <f>P124+1</f>
        <v>23</v>
      </c>
      <c r="Q125" s="15">
        <v>1</v>
      </c>
      <c r="R125" s="15"/>
      <c r="S125" s="15"/>
    </row>
    <row r="126" spans="1:19" x14ac:dyDescent="0.15">
      <c r="A126" s="23">
        <v>18</v>
      </c>
      <c r="B126" s="17">
        <f>B125+1</f>
        <v>22</v>
      </c>
      <c r="C126" s="23">
        <v>2</v>
      </c>
      <c r="D126" s="23">
        <f>D125+3</f>
        <v>6</v>
      </c>
      <c r="E126" s="23">
        <v>436.23</v>
      </c>
      <c r="F126" s="23">
        <v>1.33</v>
      </c>
      <c r="G126" s="23">
        <f t="shared" si="36"/>
        <v>327.99248120300751</v>
      </c>
      <c r="H126" s="15">
        <v>6</v>
      </c>
      <c r="I126" s="15">
        <v>7</v>
      </c>
      <c r="J126" s="15">
        <v>1</v>
      </c>
      <c r="K126" s="15">
        <f>K125+1</f>
        <v>2</v>
      </c>
      <c r="L126" s="15">
        <v>-31.71</v>
      </c>
      <c r="M126" s="15">
        <v>1.34</v>
      </c>
      <c r="N126" s="15">
        <f t="shared" si="29"/>
        <v>-23.664179104477611</v>
      </c>
      <c r="O126" s="15">
        <v>21</v>
      </c>
      <c r="P126" s="15">
        <f>P125+1</f>
        <v>24</v>
      </c>
      <c r="Q126" s="15">
        <f>Q125+2</f>
        <v>3</v>
      </c>
      <c r="R126" s="15"/>
      <c r="S126" s="15"/>
    </row>
    <row r="127" spans="1:19" x14ac:dyDescent="0.15">
      <c r="A127" s="23">
        <v>18</v>
      </c>
      <c r="B127" s="17">
        <f>B126+1</f>
        <v>23</v>
      </c>
      <c r="C127" s="23">
        <f>C126+2</f>
        <v>4</v>
      </c>
      <c r="D127" s="23">
        <f>D126+3</f>
        <v>9</v>
      </c>
      <c r="E127" s="23">
        <v>344.23</v>
      </c>
      <c r="F127" s="23">
        <v>1.35</v>
      </c>
      <c r="G127" s="23">
        <f t="shared" si="36"/>
        <v>254.98518518518517</v>
      </c>
      <c r="H127" s="15">
        <v>6</v>
      </c>
      <c r="I127" s="15">
        <v>7</v>
      </c>
      <c r="J127" s="15">
        <f>J126+1</f>
        <v>2</v>
      </c>
      <c r="K127" s="15">
        <f>K126+1</f>
        <v>3</v>
      </c>
      <c r="L127" s="15">
        <v>-58.68</v>
      </c>
      <c r="M127" s="15">
        <v>1.34</v>
      </c>
      <c r="N127" s="15">
        <f t="shared" si="29"/>
        <v>-43.791044776119399</v>
      </c>
      <c r="O127" s="15">
        <v>21</v>
      </c>
      <c r="P127" s="15">
        <v>1</v>
      </c>
      <c r="Q127" s="15">
        <f>Q126+2</f>
        <v>5</v>
      </c>
      <c r="R127" s="15"/>
      <c r="S127" s="15"/>
    </row>
    <row r="128" spans="1:19" x14ac:dyDescent="0.15">
      <c r="A128" s="23">
        <v>18</v>
      </c>
      <c r="B128" s="17">
        <f>B127+1</f>
        <v>24</v>
      </c>
      <c r="C128" s="23">
        <f>C127+2</f>
        <v>6</v>
      </c>
      <c r="D128" s="23">
        <f>D127+3</f>
        <v>12</v>
      </c>
      <c r="E128" s="23">
        <v>238.92</v>
      </c>
      <c r="F128" s="23">
        <v>1.29</v>
      </c>
      <c r="G128" s="23">
        <f t="shared" si="36"/>
        <v>185.20930232558138</v>
      </c>
      <c r="H128" s="15">
        <v>6</v>
      </c>
      <c r="I128" s="15">
        <v>7</v>
      </c>
      <c r="J128" s="15">
        <f>J127+1</f>
        <v>3</v>
      </c>
      <c r="K128" s="15">
        <f>K127+1</f>
        <v>4</v>
      </c>
      <c r="L128" s="15">
        <v>-142.36000000000001</v>
      </c>
      <c r="M128" s="15">
        <v>1.35</v>
      </c>
      <c r="N128" s="15">
        <f t="shared" si="29"/>
        <v>-105.45185185185186</v>
      </c>
      <c r="O128" s="15">
        <v>21</v>
      </c>
      <c r="P128" s="15">
        <f>P127+1</f>
        <v>2</v>
      </c>
      <c r="Q128" s="15">
        <f>Q127+2</f>
        <v>7</v>
      </c>
      <c r="R128" s="15"/>
      <c r="S128" s="15"/>
    </row>
    <row r="129" spans="1:19" x14ac:dyDescent="0.15">
      <c r="A129" s="23">
        <v>18</v>
      </c>
      <c r="B129" s="17">
        <v>1</v>
      </c>
      <c r="C129" s="23">
        <f>C128+2</f>
        <v>8</v>
      </c>
      <c r="D129" s="23">
        <f>D128+3</f>
        <v>15</v>
      </c>
      <c r="E129" s="23">
        <v>153.51</v>
      </c>
      <c r="F129" s="23">
        <v>1.47</v>
      </c>
      <c r="G129" s="23">
        <f t="shared" si="36"/>
        <v>104.42857142857143</v>
      </c>
      <c r="H129" s="15">
        <v>6</v>
      </c>
      <c r="I129" s="15">
        <v>7</v>
      </c>
      <c r="J129" s="15">
        <f>J128+1</f>
        <v>4</v>
      </c>
      <c r="K129" s="15">
        <f>K128+1</f>
        <v>5</v>
      </c>
      <c r="L129" s="15">
        <v>-586.66</v>
      </c>
      <c r="M129" s="15">
        <v>1.36</v>
      </c>
      <c r="N129" s="15">
        <f t="shared" si="29"/>
        <v>-431.36764705882348</v>
      </c>
      <c r="O129" s="15">
        <v>21</v>
      </c>
      <c r="P129" s="15">
        <f>P128+1</f>
        <v>3</v>
      </c>
      <c r="Q129" s="15">
        <f>Q128+2</f>
        <v>9</v>
      </c>
      <c r="R129" s="15"/>
      <c r="S129" s="15"/>
    </row>
    <row r="130" spans="1:19" x14ac:dyDescent="0.15">
      <c r="A130" s="23">
        <v>19</v>
      </c>
      <c r="B130" s="17">
        <f>A130+1</f>
        <v>20</v>
      </c>
      <c r="C130" s="23">
        <f>B130+1</f>
        <v>21</v>
      </c>
      <c r="D130" s="23">
        <f>C130+1</f>
        <v>22</v>
      </c>
      <c r="E130" s="22">
        <v>1763.74</v>
      </c>
      <c r="F130" s="22">
        <v>1.4</v>
      </c>
      <c r="G130" s="23">
        <f t="shared" si="36"/>
        <v>1259.8142857142857</v>
      </c>
      <c r="H130" s="15">
        <v>7</v>
      </c>
      <c r="I130" s="15">
        <v>8</v>
      </c>
      <c r="J130" s="15">
        <f>I130+1</f>
        <v>9</v>
      </c>
      <c r="K130" s="15">
        <f>J130+1</f>
        <v>10</v>
      </c>
      <c r="L130" s="15">
        <v>-543.07000000000005</v>
      </c>
      <c r="M130" s="15">
        <v>1.34</v>
      </c>
      <c r="N130" s="15">
        <f t="shared" si="29"/>
        <v>-405.2761194029851</v>
      </c>
      <c r="O130" s="15">
        <v>22</v>
      </c>
      <c r="P130" s="15">
        <v>23</v>
      </c>
      <c r="Q130" s="15">
        <v>24</v>
      </c>
      <c r="R130" s="15"/>
      <c r="S130" s="15"/>
    </row>
    <row r="131" spans="1:19" x14ac:dyDescent="0.15">
      <c r="A131" s="23">
        <v>19</v>
      </c>
      <c r="B131" s="17">
        <f>B130+1</f>
        <v>21</v>
      </c>
      <c r="C131" s="23">
        <f>C130+2</f>
        <v>23</v>
      </c>
      <c r="D131" s="23">
        <v>1</v>
      </c>
      <c r="E131" s="23">
        <v>961.36</v>
      </c>
      <c r="F131" s="23">
        <v>1.38</v>
      </c>
      <c r="G131" s="23">
        <f t="shared" si="36"/>
        <v>696.63768115942037</v>
      </c>
      <c r="H131" s="15">
        <v>7</v>
      </c>
      <c r="I131" s="15">
        <v>8</v>
      </c>
      <c r="J131" s="15">
        <f t="shared" ref="J131:J144" si="42">J130+1</f>
        <v>10</v>
      </c>
      <c r="K131" s="15">
        <f t="shared" ref="K131:K144" si="43">K130+1</f>
        <v>11</v>
      </c>
      <c r="L131" s="15">
        <v>-136.21</v>
      </c>
      <c r="M131" s="15">
        <v>1.3</v>
      </c>
      <c r="N131" s="15">
        <f t="shared" si="29"/>
        <v>-104.77692307692308</v>
      </c>
      <c r="O131" s="15">
        <v>22</v>
      </c>
      <c r="P131" s="15">
        <f>P130+1</f>
        <v>24</v>
      </c>
      <c r="Q131" s="15">
        <v>2</v>
      </c>
      <c r="R131" s="15"/>
      <c r="S131" s="15"/>
    </row>
    <row r="132" spans="1:19" x14ac:dyDescent="0.15">
      <c r="A132" s="23">
        <v>19</v>
      </c>
      <c r="B132" s="17">
        <f>B131+1</f>
        <v>22</v>
      </c>
      <c r="C132" s="23">
        <v>1</v>
      </c>
      <c r="D132" s="23">
        <f>D131+3</f>
        <v>4</v>
      </c>
      <c r="E132" s="23">
        <v>604.19000000000005</v>
      </c>
      <c r="F132" s="23">
        <v>1.3</v>
      </c>
      <c r="G132" s="23">
        <f t="shared" ref="G132:G163" si="44">E132/F132</f>
        <v>464.76153846153846</v>
      </c>
      <c r="H132" s="15">
        <v>7</v>
      </c>
      <c r="I132" s="15">
        <v>8</v>
      </c>
      <c r="J132" s="15">
        <f t="shared" si="42"/>
        <v>11</v>
      </c>
      <c r="K132" s="15">
        <f t="shared" si="43"/>
        <v>12</v>
      </c>
      <c r="L132" s="15">
        <v>-59.86</v>
      </c>
      <c r="M132" s="15">
        <v>1.3</v>
      </c>
      <c r="N132" s="15">
        <f t="shared" ref="N132:N195" si="45">L132/M132</f>
        <v>-46.046153846153842</v>
      </c>
      <c r="O132" s="15">
        <v>22</v>
      </c>
      <c r="P132" s="15">
        <v>1</v>
      </c>
      <c r="Q132" s="15">
        <f>Q131+2</f>
        <v>4</v>
      </c>
      <c r="R132" s="15"/>
      <c r="S132" s="15"/>
    </row>
    <row r="133" spans="1:19" x14ac:dyDescent="0.15">
      <c r="A133" s="23">
        <v>19</v>
      </c>
      <c r="B133" s="17">
        <f>B132+1</f>
        <v>23</v>
      </c>
      <c r="C133" s="23">
        <f>C132+2</f>
        <v>3</v>
      </c>
      <c r="D133" s="23">
        <f>D132+3</f>
        <v>7</v>
      </c>
      <c r="E133" s="23">
        <v>488.71</v>
      </c>
      <c r="F133" s="23">
        <v>1.4</v>
      </c>
      <c r="G133" s="23">
        <f t="shared" si="44"/>
        <v>349.07857142857142</v>
      </c>
      <c r="H133" s="15">
        <v>7</v>
      </c>
      <c r="I133" s="15">
        <v>8</v>
      </c>
      <c r="J133" s="15">
        <f t="shared" si="42"/>
        <v>12</v>
      </c>
      <c r="K133" s="15">
        <f t="shared" si="43"/>
        <v>13</v>
      </c>
      <c r="L133" s="15">
        <v>-32.090000000000003</v>
      </c>
      <c r="M133" s="15">
        <v>1.31</v>
      </c>
      <c r="N133" s="15">
        <f t="shared" si="45"/>
        <v>-24.496183206106871</v>
      </c>
      <c r="O133" s="15">
        <v>22</v>
      </c>
      <c r="P133" s="15">
        <f>P132+1</f>
        <v>2</v>
      </c>
      <c r="Q133" s="15">
        <f>Q132+2</f>
        <v>6</v>
      </c>
      <c r="R133" s="15"/>
      <c r="S133" s="15"/>
    </row>
    <row r="134" spans="1:19" x14ac:dyDescent="0.15">
      <c r="A134" s="23">
        <v>19</v>
      </c>
      <c r="B134" s="17">
        <f>B133+1</f>
        <v>24</v>
      </c>
      <c r="C134" s="23">
        <f>C133+2</f>
        <v>5</v>
      </c>
      <c r="D134" s="23">
        <f>D133+3</f>
        <v>10</v>
      </c>
      <c r="E134" s="23">
        <v>282.76</v>
      </c>
      <c r="F134" s="23">
        <v>1.08</v>
      </c>
      <c r="G134" s="23">
        <f t="shared" si="44"/>
        <v>261.81481481481478</v>
      </c>
      <c r="H134" s="15">
        <v>7</v>
      </c>
      <c r="I134" s="15">
        <v>8</v>
      </c>
      <c r="J134" s="15">
        <f t="shared" si="42"/>
        <v>13</v>
      </c>
      <c r="K134" s="15">
        <f t="shared" si="43"/>
        <v>14</v>
      </c>
      <c r="L134" s="15">
        <v>-20.010000000000002</v>
      </c>
      <c r="M134" s="15">
        <v>1.29</v>
      </c>
      <c r="N134" s="15">
        <f t="shared" si="45"/>
        <v>-15.511627906976745</v>
      </c>
      <c r="O134" s="15">
        <v>22</v>
      </c>
      <c r="P134" s="15">
        <f>P133+1</f>
        <v>3</v>
      </c>
      <c r="Q134" s="15">
        <f>Q133+2</f>
        <v>8</v>
      </c>
      <c r="R134" s="15"/>
      <c r="S134" s="15"/>
    </row>
    <row r="135" spans="1:19" x14ac:dyDescent="0.15">
      <c r="A135" s="23">
        <v>19</v>
      </c>
      <c r="B135" s="17">
        <v>1</v>
      </c>
      <c r="C135" s="23">
        <f>C134+2</f>
        <v>7</v>
      </c>
      <c r="D135" s="23">
        <f>D134+3</f>
        <v>13</v>
      </c>
      <c r="E135" s="23">
        <v>323.39</v>
      </c>
      <c r="F135" s="23">
        <v>1.64</v>
      </c>
      <c r="G135" s="23">
        <f t="shared" si="44"/>
        <v>197.1890243902439</v>
      </c>
      <c r="H135" s="15">
        <v>7</v>
      </c>
      <c r="I135" s="15">
        <v>8</v>
      </c>
      <c r="J135" s="15">
        <f t="shared" si="42"/>
        <v>14</v>
      </c>
      <c r="K135" s="15">
        <f t="shared" si="43"/>
        <v>15</v>
      </c>
      <c r="L135" s="15">
        <v>-12.35</v>
      </c>
      <c r="M135" s="15">
        <v>1.29</v>
      </c>
      <c r="N135" s="15">
        <f t="shared" si="45"/>
        <v>-9.5736434108527124</v>
      </c>
      <c r="O135" s="15">
        <v>22</v>
      </c>
      <c r="P135" s="15">
        <f>P134+1</f>
        <v>4</v>
      </c>
      <c r="Q135" s="15">
        <f>Q134+2</f>
        <v>10</v>
      </c>
      <c r="R135" s="15"/>
      <c r="S135" s="15"/>
    </row>
    <row r="136" spans="1:19" x14ac:dyDescent="0.15">
      <c r="A136" s="23">
        <v>19</v>
      </c>
      <c r="B136" s="17">
        <f>B135+1</f>
        <v>2</v>
      </c>
      <c r="C136" s="23">
        <f>C135+2</f>
        <v>9</v>
      </c>
      <c r="D136" s="23">
        <f>D135+3</f>
        <v>16</v>
      </c>
      <c r="E136" s="23">
        <v>153.59</v>
      </c>
      <c r="F136" s="23">
        <v>1.46</v>
      </c>
      <c r="G136" s="23">
        <f t="shared" si="44"/>
        <v>105.19863013698631</v>
      </c>
      <c r="H136" s="15">
        <v>7</v>
      </c>
      <c r="I136" s="15">
        <v>8</v>
      </c>
      <c r="J136" s="15">
        <f t="shared" si="42"/>
        <v>15</v>
      </c>
      <c r="K136" s="15">
        <f t="shared" si="43"/>
        <v>16</v>
      </c>
      <c r="L136" s="15">
        <v>-10.67</v>
      </c>
      <c r="M136" s="15">
        <v>1.3</v>
      </c>
      <c r="N136" s="15">
        <f t="shared" si="45"/>
        <v>-8.207692307692307</v>
      </c>
      <c r="O136" s="15">
        <v>23</v>
      </c>
      <c r="P136" s="15">
        <v>24</v>
      </c>
      <c r="Q136" s="15">
        <v>1</v>
      </c>
      <c r="R136" s="15"/>
      <c r="S136" s="15"/>
    </row>
    <row r="137" spans="1:19" x14ac:dyDescent="0.15">
      <c r="A137" s="23">
        <v>20</v>
      </c>
      <c r="B137" s="17">
        <f>A137+1</f>
        <v>21</v>
      </c>
      <c r="C137" s="23">
        <f>B137+1</f>
        <v>22</v>
      </c>
      <c r="D137" s="23">
        <f>C137+1</f>
        <v>23</v>
      </c>
      <c r="E137" s="23">
        <v>1897.19</v>
      </c>
      <c r="F137" s="23">
        <v>1.59</v>
      </c>
      <c r="G137" s="23">
        <f t="shared" si="44"/>
        <v>1193.2012578616352</v>
      </c>
      <c r="H137" s="15">
        <v>7</v>
      </c>
      <c r="I137" s="15">
        <v>8</v>
      </c>
      <c r="J137" s="15">
        <f t="shared" si="42"/>
        <v>16</v>
      </c>
      <c r="K137" s="15">
        <f t="shared" si="43"/>
        <v>17</v>
      </c>
      <c r="L137" s="15">
        <v>-11.04</v>
      </c>
      <c r="M137" s="15">
        <v>1.33</v>
      </c>
      <c r="N137" s="15">
        <f t="shared" si="45"/>
        <v>-8.3007518796992468</v>
      </c>
      <c r="O137" s="15">
        <v>23</v>
      </c>
      <c r="P137" s="15">
        <v>1</v>
      </c>
      <c r="Q137" s="15">
        <f>Q136+2</f>
        <v>3</v>
      </c>
      <c r="R137" s="15"/>
      <c r="S137" s="15"/>
    </row>
    <row r="138" spans="1:19" x14ac:dyDescent="0.15">
      <c r="A138" s="23">
        <v>20</v>
      </c>
      <c r="B138" s="17">
        <f>B137+1</f>
        <v>22</v>
      </c>
      <c r="C138" s="23">
        <f>C137+2</f>
        <v>24</v>
      </c>
      <c r="D138" s="23">
        <v>2</v>
      </c>
      <c r="E138" s="23">
        <v>790.86</v>
      </c>
      <c r="F138" s="23">
        <v>1.25</v>
      </c>
      <c r="G138" s="23">
        <f t="shared" si="44"/>
        <v>632.68799999999999</v>
      </c>
      <c r="H138" s="15">
        <v>7</v>
      </c>
      <c r="I138" s="15">
        <v>8</v>
      </c>
      <c r="J138" s="15">
        <f t="shared" si="42"/>
        <v>17</v>
      </c>
      <c r="K138" s="15">
        <f t="shared" si="43"/>
        <v>18</v>
      </c>
      <c r="L138" s="15">
        <v>-7.82</v>
      </c>
      <c r="M138" s="15">
        <v>1.34</v>
      </c>
      <c r="N138" s="15">
        <f t="shared" si="45"/>
        <v>-5.8358208955223878</v>
      </c>
      <c r="O138" s="15">
        <v>23</v>
      </c>
      <c r="P138" s="15">
        <f>P137+1</f>
        <v>2</v>
      </c>
      <c r="Q138" s="15">
        <f>Q137+2</f>
        <v>5</v>
      </c>
      <c r="R138" s="15"/>
      <c r="S138" s="15"/>
    </row>
    <row r="139" spans="1:19" x14ac:dyDescent="0.15">
      <c r="A139" s="23">
        <v>20</v>
      </c>
      <c r="B139" s="17">
        <f>B138+1</f>
        <v>23</v>
      </c>
      <c r="C139" s="23">
        <v>2</v>
      </c>
      <c r="D139" s="23">
        <f>D138+3</f>
        <v>5</v>
      </c>
      <c r="E139" s="23">
        <v>679.76</v>
      </c>
      <c r="F139" s="23">
        <v>1.43</v>
      </c>
      <c r="G139" s="23">
        <f t="shared" si="44"/>
        <v>475.35664335664336</v>
      </c>
      <c r="H139" s="15">
        <v>7</v>
      </c>
      <c r="I139" s="15">
        <v>8</v>
      </c>
      <c r="J139" s="15">
        <f t="shared" si="42"/>
        <v>18</v>
      </c>
      <c r="K139" s="15">
        <f t="shared" si="43"/>
        <v>19</v>
      </c>
      <c r="L139" s="15">
        <v>-7.83</v>
      </c>
      <c r="M139" s="15">
        <v>1.33</v>
      </c>
      <c r="N139" s="15">
        <f t="shared" si="45"/>
        <v>-5.8872180451127818</v>
      </c>
      <c r="O139" s="15">
        <v>23</v>
      </c>
      <c r="P139" s="15">
        <f>P138+1</f>
        <v>3</v>
      </c>
      <c r="Q139" s="15">
        <f>Q138+2</f>
        <v>7</v>
      </c>
      <c r="R139" s="15"/>
      <c r="S139" s="15"/>
    </row>
    <row r="140" spans="1:19" x14ac:dyDescent="0.15">
      <c r="A140" s="23">
        <v>20</v>
      </c>
      <c r="B140" s="17">
        <f>B139+1</f>
        <v>24</v>
      </c>
      <c r="C140" s="23">
        <f>C139+2</f>
        <v>4</v>
      </c>
      <c r="D140" s="23">
        <f>D139+3</f>
        <v>8</v>
      </c>
      <c r="E140" s="23">
        <v>375.33</v>
      </c>
      <c r="F140" s="23">
        <v>1.29</v>
      </c>
      <c r="G140" s="23">
        <f t="shared" si="44"/>
        <v>290.95348837209298</v>
      </c>
      <c r="H140" s="15">
        <v>7</v>
      </c>
      <c r="I140" s="15">
        <v>8</v>
      </c>
      <c r="J140" s="15">
        <f t="shared" si="42"/>
        <v>19</v>
      </c>
      <c r="K140" s="15">
        <f t="shared" si="43"/>
        <v>20</v>
      </c>
      <c r="L140" s="15">
        <v>-7.42</v>
      </c>
      <c r="M140" s="15">
        <v>1.31</v>
      </c>
      <c r="N140" s="15">
        <f t="shared" si="45"/>
        <v>-5.66412213740458</v>
      </c>
      <c r="O140" s="15">
        <v>23</v>
      </c>
      <c r="P140" s="15">
        <f>P139+1</f>
        <v>4</v>
      </c>
      <c r="Q140" s="15">
        <f>Q139+2</f>
        <v>9</v>
      </c>
      <c r="R140" s="15"/>
      <c r="S140" s="15"/>
    </row>
    <row r="141" spans="1:19" x14ac:dyDescent="0.15">
      <c r="A141" s="23">
        <v>20</v>
      </c>
      <c r="B141" s="17">
        <v>1</v>
      </c>
      <c r="C141" s="23">
        <f>C140+2</f>
        <v>6</v>
      </c>
      <c r="D141" s="23">
        <f>D140+3</f>
        <v>11</v>
      </c>
      <c r="E141" s="23">
        <v>334.4</v>
      </c>
      <c r="F141" s="23">
        <v>1.26</v>
      </c>
      <c r="G141" s="23">
        <f t="shared" si="44"/>
        <v>265.39682539682536</v>
      </c>
      <c r="H141" s="15">
        <v>7</v>
      </c>
      <c r="I141" s="15">
        <v>8</v>
      </c>
      <c r="J141" s="15">
        <f t="shared" si="42"/>
        <v>20</v>
      </c>
      <c r="K141" s="15">
        <f t="shared" si="43"/>
        <v>21</v>
      </c>
      <c r="L141" s="15">
        <v>-8.1199999999999992</v>
      </c>
      <c r="M141" s="15">
        <v>1.3</v>
      </c>
      <c r="N141" s="15">
        <f t="shared" si="45"/>
        <v>-6.2461538461538453</v>
      </c>
      <c r="O141" s="15">
        <v>23</v>
      </c>
      <c r="P141" s="15">
        <f>P140+1</f>
        <v>5</v>
      </c>
      <c r="Q141" s="15">
        <f>Q140+2</f>
        <v>11</v>
      </c>
      <c r="R141" s="15"/>
      <c r="S141" s="15"/>
    </row>
    <row r="142" spans="1:19" x14ac:dyDescent="0.15">
      <c r="A142" s="23">
        <v>20</v>
      </c>
      <c r="B142" s="17">
        <f>B141+1</f>
        <v>2</v>
      </c>
      <c r="C142" s="23">
        <f>C141+2</f>
        <v>8</v>
      </c>
      <c r="D142" s="23">
        <f>D141+3</f>
        <v>14</v>
      </c>
      <c r="E142" s="23">
        <v>249.99</v>
      </c>
      <c r="F142" s="23">
        <v>1.28</v>
      </c>
      <c r="G142" s="23">
        <f t="shared" si="44"/>
        <v>195.3046875</v>
      </c>
      <c r="H142" s="15">
        <v>7</v>
      </c>
      <c r="I142" s="15">
        <v>8</v>
      </c>
      <c r="J142" s="15">
        <f t="shared" si="42"/>
        <v>21</v>
      </c>
      <c r="K142" s="15">
        <f t="shared" si="43"/>
        <v>22</v>
      </c>
      <c r="L142" s="15">
        <v>-8.3800000000000008</v>
      </c>
      <c r="M142" s="15">
        <v>1.3</v>
      </c>
      <c r="N142" s="15">
        <f t="shared" si="45"/>
        <v>-6.4461538461538463</v>
      </c>
      <c r="O142" s="15">
        <v>24</v>
      </c>
      <c r="P142" s="15">
        <v>1</v>
      </c>
      <c r="Q142" s="15">
        <v>2</v>
      </c>
      <c r="R142" s="15"/>
      <c r="S142" s="15"/>
    </row>
    <row r="143" spans="1:19" x14ac:dyDescent="0.15">
      <c r="A143" s="23">
        <v>20</v>
      </c>
      <c r="B143" s="17">
        <f>B142+1</f>
        <v>3</v>
      </c>
      <c r="C143" s="23">
        <f>C142+2</f>
        <v>10</v>
      </c>
      <c r="D143" s="23">
        <f>D142+3</f>
        <v>17</v>
      </c>
      <c r="E143" s="23">
        <v>121.66</v>
      </c>
      <c r="F143" s="23">
        <v>1.49</v>
      </c>
      <c r="G143" s="23">
        <f t="shared" si="44"/>
        <v>81.651006711409394</v>
      </c>
      <c r="H143" s="15">
        <v>7</v>
      </c>
      <c r="I143" s="15">
        <v>8</v>
      </c>
      <c r="J143" s="15">
        <f t="shared" si="42"/>
        <v>22</v>
      </c>
      <c r="K143" s="15">
        <f t="shared" si="43"/>
        <v>23</v>
      </c>
      <c r="L143" s="15">
        <v>-8.02</v>
      </c>
      <c r="M143" s="15">
        <v>1.3</v>
      </c>
      <c r="N143" s="15">
        <f t="shared" si="45"/>
        <v>-6.1692307692307686</v>
      </c>
      <c r="O143" s="15">
        <v>24</v>
      </c>
      <c r="P143" s="15">
        <f>P142+1</f>
        <v>2</v>
      </c>
      <c r="Q143" s="15">
        <f>Q142+2</f>
        <v>4</v>
      </c>
      <c r="R143" s="15"/>
      <c r="S143" s="15"/>
    </row>
    <row r="144" spans="1:19" x14ac:dyDescent="0.15">
      <c r="A144" s="23">
        <v>21</v>
      </c>
      <c r="B144" s="17">
        <f>A144+1</f>
        <v>22</v>
      </c>
      <c r="C144" s="23">
        <f>B144+1</f>
        <v>23</v>
      </c>
      <c r="D144" s="23">
        <f>C144+1</f>
        <v>24</v>
      </c>
      <c r="E144" s="23">
        <v>1706.75</v>
      </c>
      <c r="F144" s="23">
        <v>1.36</v>
      </c>
      <c r="G144" s="23">
        <f t="shared" si="44"/>
        <v>1254.9632352941176</v>
      </c>
      <c r="H144" s="15">
        <v>7</v>
      </c>
      <c r="I144" s="15">
        <v>8</v>
      </c>
      <c r="J144" s="15">
        <f t="shared" si="42"/>
        <v>23</v>
      </c>
      <c r="K144" s="15">
        <f t="shared" si="43"/>
        <v>24</v>
      </c>
      <c r="L144" s="15">
        <v>-10.4</v>
      </c>
      <c r="M144" s="15">
        <v>1.31</v>
      </c>
      <c r="N144" s="15">
        <f t="shared" si="45"/>
        <v>-7.9389312977099236</v>
      </c>
      <c r="O144" s="15">
        <v>24</v>
      </c>
      <c r="P144" s="15">
        <f>P143+1</f>
        <v>3</v>
      </c>
      <c r="Q144" s="15">
        <f>Q143+2</f>
        <v>6</v>
      </c>
      <c r="R144" s="15"/>
      <c r="S144" s="15"/>
    </row>
    <row r="145" spans="1:19" x14ac:dyDescent="0.15">
      <c r="A145" s="23">
        <v>21</v>
      </c>
      <c r="B145" s="17">
        <f>B144+1</f>
        <v>23</v>
      </c>
      <c r="C145" s="23">
        <v>1</v>
      </c>
      <c r="D145" s="23">
        <v>3</v>
      </c>
      <c r="E145" s="23">
        <v>897.98</v>
      </c>
      <c r="F145" s="23">
        <v>1.36</v>
      </c>
      <c r="G145" s="23">
        <f t="shared" si="44"/>
        <v>660.27941176470586</v>
      </c>
      <c r="H145" s="15">
        <v>7</v>
      </c>
      <c r="I145" s="15">
        <v>8</v>
      </c>
      <c r="J145" s="15">
        <f>J144+1</f>
        <v>24</v>
      </c>
      <c r="K145" s="15">
        <v>1</v>
      </c>
      <c r="L145" s="15">
        <v>-13.31</v>
      </c>
      <c r="M145" s="15">
        <v>1.29</v>
      </c>
      <c r="N145" s="15">
        <f t="shared" si="45"/>
        <v>-10.317829457364342</v>
      </c>
      <c r="O145" s="15">
        <v>24</v>
      </c>
      <c r="P145" s="15">
        <f>P144+1</f>
        <v>4</v>
      </c>
      <c r="Q145" s="15">
        <f>Q144+2</f>
        <v>8</v>
      </c>
      <c r="R145" s="15"/>
      <c r="S145" s="15"/>
    </row>
    <row r="146" spans="1:19" x14ac:dyDescent="0.15">
      <c r="A146" s="23">
        <v>21</v>
      </c>
      <c r="B146" s="17">
        <f>B145+1</f>
        <v>24</v>
      </c>
      <c r="C146" s="23">
        <f>C145+2</f>
        <v>3</v>
      </c>
      <c r="D146" s="23">
        <f>D145+3</f>
        <v>6</v>
      </c>
      <c r="E146" s="23">
        <v>628.29</v>
      </c>
      <c r="F146" s="23">
        <v>1.34</v>
      </c>
      <c r="G146" s="23">
        <f t="shared" si="44"/>
        <v>468.87313432835816</v>
      </c>
      <c r="H146" s="15">
        <v>7</v>
      </c>
      <c r="I146" s="15">
        <v>8</v>
      </c>
      <c r="J146" s="15">
        <v>1</v>
      </c>
      <c r="K146" s="15">
        <f>K145+1</f>
        <v>2</v>
      </c>
      <c r="L146" s="15">
        <v>-22.6</v>
      </c>
      <c r="M146" s="15">
        <v>1.31</v>
      </c>
      <c r="N146" s="15">
        <f t="shared" si="45"/>
        <v>-17.251908396946565</v>
      </c>
      <c r="O146" s="15">
        <v>24</v>
      </c>
      <c r="P146" s="15">
        <f>P145+1</f>
        <v>5</v>
      </c>
      <c r="Q146" s="15">
        <f>Q145+2</f>
        <v>10</v>
      </c>
      <c r="R146" s="15"/>
      <c r="S146" s="15"/>
    </row>
    <row r="147" spans="1:19" x14ac:dyDescent="0.15">
      <c r="A147" s="23">
        <v>21</v>
      </c>
      <c r="B147" s="17">
        <v>1</v>
      </c>
      <c r="C147" s="23">
        <f>C146+2</f>
        <v>5</v>
      </c>
      <c r="D147" s="23">
        <f>D146+3</f>
        <v>9</v>
      </c>
      <c r="E147" s="23">
        <v>481.02</v>
      </c>
      <c r="F147" s="23">
        <v>1.36</v>
      </c>
      <c r="G147" s="23">
        <f t="shared" si="44"/>
        <v>353.69117647058818</v>
      </c>
      <c r="H147" s="15">
        <v>7</v>
      </c>
      <c r="I147" s="15">
        <v>8</v>
      </c>
      <c r="J147" s="15">
        <f>J146+1</f>
        <v>2</v>
      </c>
      <c r="K147" s="15">
        <f>K146+1</f>
        <v>3</v>
      </c>
      <c r="L147" s="15">
        <v>-30.88</v>
      </c>
      <c r="M147" s="15">
        <v>1.34</v>
      </c>
      <c r="N147" s="15">
        <f t="shared" si="45"/>
        <v>-23.044776119402982</v>
      </c>
      <c r="O147" s="15">
        <v>24</v>
      </c>
      <c r="P147" s="15">
        <f>P146+1</f>
        <v>6</v>
      </c>
      <c r="Q147" s="15">
        <f>Q146+2</f>
        <v>12</v>
      </c>
      <c r="R147" s="15"/>
      <c r="S147" s="15"/>
    </row>
    <row r="148" spans="1:19" x14ac:dyDescent="0.15">
      <c r="A148" s="23">
        <v>21</v>
      </c>
      <c r="B148" s="17">
        <f>B147+1</f>
        <v>2</v>
      </c>
      <c r="C148" s="23">
        <f>C147+2</f>
        <v>7</v>
      </c>
      <c r="D148" s="23">
        <f>D147+3</f>
        <v>12</v>
      </c>
      <c r="E148" s="23">
        <v>404.78</v>
      </c>
      <c r="F148" s="23">
        <v>1.29</v>
      </c>
      <c r="G148" s="23">
        <f t="shared" si="44"/>
        <v>313.7829457364341</v>
      </c>
      <c r="H148" s="15">
        <v>7</v>
      </c>
      <c r="I148" s="15">
        <v>8</v>
      </c>
      <c r="J148" s="15">
        <f>J147+1</f>
        <v>3</v>
      </c>
      <c r="K148" s="15">
        <f>K147+1</f>
        <v>4</v>
      </c>
      <c r="L148" s="15">
        <v>-59.86</v>
      </c>
      <c r="M148" s="15">
        <v>1.29</v>
      </c>
      <c r="N148" s="15">
        <f t="shared" si="45"/>
        <v>-46.403100775193799</v>
      </c>
      <c r="O148" s="15"/>
      <c r="P148" s="15"/>
      <c r="Q148" s="15"/>
      <c r="R148" s="15"/>
      <c r="S148" s="15"/>
    </row>
    <row r="149" spans="1:19" x14ac:dyDescent="0.15">
      <c r="A149" s="23">
        <v>21</v>
      </c>
      <c r="B149" s="17">
        <f>B148+1</f>
        <v>3</v>
      </c>
      <c r="C149" s="23">
        <f>C148+2</f>
        <v>9</v>
      </c>
      <c r="D149" s="23">
        <f>D148+3</f>
        <v>15</v>
      </c>
      <c r="E149" s="23">
        <v>354.87</v>
      </c>
      <c r="F149" s="23">
        <v>1.46</v>
      </c>
      <c r="G149" s="23">
        <f t="shared" si="44"/>
        <v>243.06164383561645</v>
      </c>
      <c r="H149" s="15">
        <v>7</v>
      </c>
      <c r="I149" s="15">
        <v>8</v>
      </c>
      <c r="J149" s="15">
        <f>J148+1</f>
        <v>4</v>
      </c>
      <c r="K149" s="15">
        <f>K148+1</f>
        <v>5</v>
      </c>
      <c r="L149" s="15">
        <v>-145.61000000000001</v>
      </c>
      <c r="M149" s="15">
        <v>1.31</v>
      </c>
      <c r="N149" s="15">
        <f t="shared" si="45"/>
        <v>-111.15267175572519</v>
      </c>
      <c r="O149" s="15"/>
      <c r="P149" s="15"/>
      <c r="Q149" s="15"/>
      <c r="R149" s="15"/>
      <c r="S149" s="15"/>
    </row>
    <row r="150" spans="1:19" x14ac:dyDescent="0.15">
      <c r="A150" s="23">
        <v>21</v>
      </c>
      <c r="B150" s="17">
        <f>B149+1</f>
        <v>4</v>
      </c>
      <c r="C150" s="23">
        <f>C149+2</f>
        <v>11</v>
      </c>
      <c r="D150" s="23">
        <f>D149+3</f>
        <v>18</v>
      </c>
      <c r="E150" s="23">
        <v>174.77</v>
      </c>
      <c r="F150" s="23">
        <v>1.25</v>
      </c>
      <c r="G150" s="23">
        <f t="shared" si="44"/>
        <v>139.816</v>
      </c>
      <c r="H150" s="15">
        <v>7</v>
      </c>
      <c r="I150" s="15">
        <v>8</v>
      </c>
      <c r="J150" s="15">
        <f>J149+1</f>
        <v>5</v>
      </c>
      <c r="K150" s="15">
        <f>K149+1</f>
        <v>6</v>
      </c>
      <c r="L150" s="15">
        <v>-515.33000000000004</v>
      </c>
      <c r="M150" s="15">
        <v>1.32</v>
      </c>
      <c r="N150" s="15">
        <f t="shared" si="45"/>
        <v>-390.40151515151518</v>
      </c>
      <c r="O150" s="15"/>
      <c r="P150" s="15"/>
      <c r="Q150" s="15"/>
      <c r="R150" s="15"/>
      <c r="S150" s="15"/>
    </row>
    <row r="151" spans="1:19" x14ac:dyDescent="0.15">
      <c r="A151" s="23">
        <v>22</v>
      </c>
      <c r="B151" s="17">
        <f>A151+1</f>
        <v>23</v>
      </c>
      <c r="C151" s="23">
        <f>B151+1</f>
        <v>24</v>
      </c>
      <c r="D151" s="23">
        <v>1</v>
      </c>
      <c r="E151" s="23">
        <v>1751.12</v>
      </c>
      <c r="F151" s="23">
        <v>1.36</v>
      </c>
      <c r="G151" s="23">
        <f t="shared" si="44"/>
        <v>1287.5882352941176</v>
      </c>
      <c r="H151" s="15">
        <v>8</v>
      </c>
      <c r="I151" s="15">
        <v>9</v>
      </c>
      <c r="J151" s="15">
        <f>I151+1</f>
        <v>10</v>
      </c>
      <c r="K151" s="15">
        <f>J151+1</f>
        <v>11</v>
      </c>
      <c r="L151" s="15">
        <v>-527.33000000000004</v>
      </c>
      <c r="M151" s="15">
        <v>1.36</v>
      </c>
      <c r="N151" s="15">
        <f t="shared" si="45"/>
        <v>-387.74264705882354</v>
      </c>
      <c r="O151" s="15"/>
      <c r="P151" s="15"/>
      <c r="Q151" s="15"/>
      <c r="R151" s="15"/>
      <c r="S151" s="15"/>
    </row>
    <row r="152" spans="1:19" x14ac:dyDescent="0.15">
      <c r="A152" s="23">
        <v>22</v>
      </c>
      <c r="B152" s="17">
        <f>B151+1</f>
        <v>24</v>
      </c>
      <c r="C152" s="23">
        <v>2</v>
      </c>
      <c r="D152" s="23">
        <f t="shared" ref="D152:D157" si="46">D151+3</f>
        <v>4</v>
      </c>
      <c r="E152" s="23">
        <v>762.57</v>
      </c>
      <c r="F152" s="23">
        <v>1.2</v>
      </c>
      <c r="G152" s="23">
        <f t="shared" si="44"/>
        <v>635.47500000000002</v>
      </c>
      <c r="H152" s="15">
        <v>8</v>
      </c>
      <c r="I152" s="15">
        <v>9</v>
      </c>
      <c r="J152" s="15">
        <f t="shared" ref="J152:J164" si="47">J151+1</f>
        <v>11</v>
      </c>
      <c r="K152" s="15">
        <f t="shared" ref="K152:K164" si="48">K151+1</f>
        <v>12</v>
      </c>
      <c r="L152" s="15">
        <v>-144.1</v>
      </c>
      <c r="M152" s="15">
        <v>1.36</v>
      </c>
      <c r="N152" s="15">
        <f t="shared" si="45"/>
        <v>-105.95588235294116</v>
      </c>
      <c r="O152" s="15"/>
      <c r="P152" s="15"/>
      <c r="Q152" s="15"/>
      <c r="R152" s="15"/>
      <c r="S152" s="15"/>
    </row>
    <row r="153" spans="1:19" x14ac:dyDescent="0.15">
      <c r="A153" s="23">
        <v>22</v>
      </c>
      <c r="B153" s="17">
        <v>1</v>
      </c>
      <c r="C153" s="23">
        <f>C152+2</f>
        <v>4</v>
      </c>
      <c r="D153" s="23">
        <f t="shared" si="46"/>
        <v>7</v>
      </c>
      <c r="E153" s="23">
        <v>609.30999999999995</v>
      </c>
      <c r="F153" s="23">
        <v>1.27</v>
      </c>
      <c r="G153" s="23">
        <f t="shared" si="44"/>
        <v>479.77165354330702</v>
      </c>
      <c r="H153" s="15">
        <v>8</v>
      </c>
      <c r="I153" s="15">
        <v>9</v>
      </c>
      <c r="J153" s="15">
        <f t="shared" si="47"/>
        <v>12</v>
      </c>
      <c r="K153" s="15">
        <f t="shared" si="48"/>
        <v>13</v>
      </c>
      <c r="L153" s="15">
        <v>-60.03</v>
      </c>
      <c r="M153" s="15">
        <v>1.4</v>
      </c>
      <c r="N153" s="15">
        <f t="shared" si="45"/>
        <v>-42.878571428571433</v>
      </c>
      <c r="O153" s="15"/>
      <c r="P153" s="15"/>
      <c r="Q153" s="15"/>
      <c r="R153" s="15"/>
      <c r="S153" s="15"/>
    </row>
    <row r="154" spans="1:19" x14ac:dyDescent="0.15">
      <c r="A154" s="23">
        <v>22</v>
      </c>
      <c r="B154" s="17">
        <f>B153+1</f>
        <v>2</v>
      </c>
      <c r="C154" s="23">
        <f>C153+2</f>
        <v>6</v>
      </c>
      <c r="D154" s="23">
        <f t="shared" si="46"/>
        <v>10</v>
      </c>
      <c r="E154" s="23">
        <v>338.05</v>
      </c>
      <c r="F154" s="23">
        <v>1.02</v>
      </c>
      <c r="G154" s="23">
        <f t="shared" si="44"/>
        <v>331.42156862745099</v>
      </c>
      <c r="H154" s="15">
        <v>8</v>
      </c>
      <c r="I154" s="15">
        <v>9</v>
      </c>
      <c r="J154" s="15">
        <f t="shared" si="47"/>
        <v>13</v>
      </c>
      <c r="K154" s="15">
        <f t="shared" si="48"/>
        <v>14</v>
      </c>
      <c r="L154" s="15">
        <v>-34.270000000000003</v>
      </c>
      <c r="M154" s="15">
        <v>1.39</v>
      </c>
      <c r="N154" s="15">
        <f t="shared" si="45"/>
        <v>-24.654676258992811</v>
      </c>
      <c r="O154" s="15"/>
      <c r="P154" s="15"/>
      <c r="Q154" s="15"/>
      <c r="R154" s="15"/>
      <c r="S154" s="15"/>
    </row>
    <row r="155" spans="1:19" x14ac:dyDescent="0.15">
      <c r="A155" s="23">
        <v>22</v>
      </c>
      <c r="B155" s="17">
        <f>B154+1</f>
        <v>3</v>
      </c>
      <c r="C155" s="23">
        <f>C154+2</f>
        <v>8</v>
      </c>
      <c r="D155" s="23">
        <f t="shared" si="46"/>
        <v>13</v>
      </c>
      <c r="E155" s="23">
        <v>381.61</v>
      </c>
      <c r="F155" s="23">
        <v>1.47</v>
      </c>
      <c r="G155" s="23">
        <f t="shared" si="44"/>
        <v>259.59863945578235</v>
      </c>
      <c r="H155" s="15">
        <v>8</v>
      </c>
      <c r="I155" s="15">
        <v>9</v>
      </c>
      <c r="J155" s="15">
        <f t="shared" si="47"/>
        <v>14</v>
      </c>
      <c r="K155" s="15">
        <f t="shared" si="48"/>
        <v>15</v>
      </c>
      <c r="L155" s="15">
        <v>-19.510000000000002</v>
      </c>
      <c r="M155" s="15">
        <v>1.36</v>
      </c>
      <c r="N155" s="15">
        <f t="shared" si="45"/>
        <v>-14.345588235294118</v>
      </c>
      <c r="O155" s="15"/>
      <c r="P155" s="15"/>
      <c r="Q155" s="15"/>
      <c r="R155" s="15"/>
      <c r="S155" s="15"/>
    </row>
    <row r="156" spans="1:19" x14ac:dyDescent="0.15">
      <c r="A156" s="23">
        <v>22</v>
      </c>
      <c r="B156" s="17">
        <f>B155+1</f>
        <v>4</v>
      </c>
      <c r="C156" s="23">
        <f>C155+2</f>
        <v>10</v>
      </c>
      <c r="D156" s="23">
        <f t="shared" si="46"/>
        <v>16</v>
      </c>
      <c r="E156" s="23">
        <v>246.8</v>
      </c>
      <c r="F156" s="23">
        <v>1.31</v>
      </c>
      <c r="G156" s="23">
        <f t="shared" si="44"/>
        <v>188.3969465648855</v>
      </c>
      <c r="H156" s="15">
        <v>8</v>
      </c>
      <c r="I156" s="15">
        <v>9</v>
      </c>
      <c r="J156" s="15">
        <f t="shared" si="47"/>
        <v>15</v>
      </c>
      <c r="K156" s="15">
        <f t="shared" si="48"/>
        <v>16</v>
      </c>
      <c r="L156" s="15">
        <v>-15.01</v>
      </c>
      <c r="M156" s="15">
        <v>1.35</v>
      </c>
      <c r="N156" s="15">
        <f t="shared" si="45"/>
        <v>-11.118518518518517</v>
      </c>
      <c r="O156" s="15"/>
      <c r="P156" s="15"/>
      <c r="Q156" s="15"/>
      <c r="R156" s="15"/>
      <c r="S156" s="15"/>
    </row>
    <row r="157" spans="1:19" x14ac:dyDescent="0.15">
      <c r="A157" s="23">
        <v>22</v>
      </c>
      <c r="B157" s="17">
        <f>B156+1</f>
        <v>5</v>
      </c>
      <c r="C157" s="23">
        <f>C156+2</f>
        <v>12</v>
      </c>
      <c r="D157" s="23">
        <f t="shared" si="46"/>
        <v>19</v>
      </c>
      <c r="E157" s="23">
        <v>136.35</v>
      </c>
      <c r="F157" s="23">
        <v>1.41</v>
      </c>
      <c r="G157" s="23">
        <f t="shared" si="44"/>
        <v>96.702127659574472</v>
      </c>
      <c r="H157" s="15">
        <v>8</v>
      </c>
      <c r="I157" s="15">
        <v>9</v>
      </c>
      <c r="J157" s="15">
        <f t="shared" si="47"/>
        <v>16</v>
      </c>
      <c r="K157" s="15">
        <f t="shared" si="48"/>
        <v>17</v>
      </c>
      <c r="L157" s="15">
        <v>-12.03</v>
      </c>
      <c r="M157" s="15">
        <v>1.31</v>
      </c>
      <c r="N157" s="15">
        <f t="shared" si="45"/>
        <v>-9.1832061068702284</v>
      </c>
      <c r="O157" s="15"/>
      <c r="P157" s="15"/>
      <c r="Q157" s="15"/>
      <c r="R157" s="15"/>
      <c r="S157" s="15"/>
    </row>
    <row r="158" spans="1:19" x14ac:dyDescent="0.15">
      <c r="A158" s="23">
        <v>23</v>
      </c>
      <c r="B158" s="17">
        <f>A158+1</f>
        <v>24</v>
      </c>
      <c r="C158" s="23">
        <v>1</v>
      </c>
      <c r="D158" s="23">
        <v>2</v>
      </c>
      <c r="E158" s="23">
        <v>1553.64</v>
      </c>
      <c r="F158" s="23">
        <v>1.29</v>
      </c>
      <c r="G158" s="23">
        <f t="shared" si="44"/>
        <v>1204.372093023256</v>
      </c>
      <c r="H158" s="15">
        <v>8</v>
      </c>
      <c r="I158" s="15">
        <v>9</v>
      </c>
      <c r="J158" s="15">
        <f t="shared" si="47"/>
        <v>17</v>
      </c>
      <c r="K158" s="15">
        <f t="shared" si="48"/>
        <v>18</v>
      </c>
      <c r="L158" s="15">
        <v>-9.0399999999999991</v>
      </c>
      <c r="M158" s="15">
        <v>1.31</v>
      </c>
      <c r="N158" s="15">
        <f t="shared" si="45"/>
        <v>-6.900763358778625</v>
      </c>
      <c r="O158" s="15"/>
      <c r="P158" s="15"/>
      <c r="Q158" s="15"/>
      <c r="R158" s="15"/>
      <c r="S158" s="15"/>
    </row>
    <row r="159" spans="1:19" x14ac:dyDescent="0.15">
      <c r="A159" s="23">
        <v>23</v>
      </c>
      <c r="B159" s="17">
        <v>1</v>
      </c>
      <c r="C159" s="23">
        <f t="shared" ref="C159:C164" si="49">C158+2</f>
        <v>3</v>
      </c>
      <c r="D159" s="23">
        <f t="shared" ref="D159:D164" si="50">D158+3</f>
        <v>5</v>
      </c>
      <c r="E159" s="23">
        <v>1129.1099999999999</v>
      </c>
      <c r="F159" s="23">
        <v>1.61</v>
      </c>
      <c r="G159" s="23">
        <f t="shared" si="44"/>
        <v>701.31055900621107</v>
      </c>
      <c r="H159" s="15">
        <v>8</v>
      </c>
      <c r="I159" s="15">
        <v>9</v>
      </c>
      <c r="J159" s="15">
        <f t="shared" si="47"/>
        <v>18</v>
      </c>
      <c r="K159" s="15">
        <f t="shared" si="48"/>
        <v>19</v>
      </c>
      <c r="L159" s="15">
        <v>-8.11</v>
      </c>
      <c r="M159" s="15">
        <v>1.31</v>
      </c>
      <c r="N159" s="15">
        <f t="shared" si="45"/>
        <v>-6.1908396946564874</v>
      </c>
      <c r="O159" s="15"/>
      <c r="P159" s="15"/>
      <c r="Q159" s="15"/>
      <c r="R159" s="15"/>
      <c r="S159" s="15"/>
    </row>
    <row r="160" spans="1:19" x14ac:dyDescent="0.15">
      <c r="A160" s="23">
        <v>23</v>
      </c>
      <c r="B160" s="17">
        <f>B159+1</f>
        <v>2</v>
      </c>
      <c r="C160" s="23">
        <f t="shared" si="49"/>
        <v>5</v>
      </c>
      <c r="D160" s="23">
        <f t="shared" si="50"/>
        <v>8</v>
      </c>
      <c r="E160" s="23">
        <v>716.84</v>
      </c>
      <c r="F160" s="23">
        <v>1.49</v>
      </c>
      <c r="G160" s="23">
        <f t="shared" si="44"/>
        <v>481.1006711409396</v>
      </c>
      <c r="H160" s="15">
        <v>8</v>
      </c>
      <c r="I160" s="15">
        <v>9</v>
      </c>
      <c r="J160" s="15">
        <f t="shared" si="47"/>
        <v>19</v>
      </c>
      <c r="K160" s="15">
        <f t="shared" si="48"/>
        <v>20</v>
      </c>
      <c r="L160" s="15">
        <v>-7.6</v>
      </c>
      <c r="M160" s="15">
        <v>1.3</v>
      </c>
      <c r="N160" s="15">
        <f t="shared" si="45"/>
        <v>-5.8461538461538458</v>
      </c>
      <c r="O160" s="15"/>
      <c r="P160" s="15"/>
      <c r="Q160" s="15"/>
      <c r="R160" s="15"/>
      <c r="S160" s="15"/>
    </row>
    <row r="161" spans="1:19" x14ac:dyDescent="0.15">
      <c r="A161" s="23">
        <v>23</v>
      </c>
      <c r="B161" s="17">
        <f>B160+1</f>
        <v>3</v>
      </c>
      <c r="C161" s="23">
        <f t="shared" si="49"/>
        <v>7</v>
      </c>
      <c r="D161" s="23">
        <f t="shared" si="50"/>
        <v>11</v>
      </c>
      <c r="E161" s="23">
        <v>509.61</v>
      </c>
      <c r="F161" s="23">
        <v>1.42</v>
      </c>
      <c r="G161" s="23">
        <f t="shared" si="44"/>
        <v>358.88028169014086</v>
      </c>
      <c r="H161" s="15">
        <v>8</v>
      </c>
      <c r="I161" s="15">
        <v>9</v>
      </c>
      <c r="J161" s="15">
        <f t="shared" si="47"/>
        <v>20</v>
      </c>
      <c r="K161" s="15">
        <f t="shared" si="48"/>
        <v>21</v>
      </c>
      <c r="L161" s="15">
        <v>-7.22</v>
      </c>
      <c r="M161" s="15">
        <v>1.28</v>
      </c>
      <c r="N161" s="15">
        <f t="shared" si="45"/>
        <v>-5.640625</v>
      </c>
      <c r="O161" s="15"/>
      <c r="P161" s="15"/>
      <c r="Q161" s="15"/>
      <c r="R161" s="15"/>
      <c r="S161" s="15"/>
    </row>
    <row r="162" spans="1:19" x14ac:dyDescent="0.15">
      <c r="A162" s="23">
        <v>23</v>
      </c>
      <c r="B162" s="17">
        <f>B161+1</f>
        <v>4</v>
      </c>
      <c r="C162" s="23">
        <f t="shared" si="49"/>
        <v>9</v>
      </c>
      <c r="D162" s="23">
        <f t="shared" si="50"/>
        <v>14</v>
      </c>
      <c r="E162" s="23">
        <v>387.58</v>
      </c>
      <c r="F162" s="23">
        <v>1.44</v>
      </c>
      <c r="G162" s="23">
        <f t="shared" si="44"/>
        <v>269.15277777777777</v>
      </c>
      <c r="H162" s="15">
        <v>8</v>
      </c>
      <c r="I162" s="15">
        <v>9</v>
      </c>
      <c r="J162" s="15">
        <f t="shared" si="47"/>
        <v>21</v>
      </c>
      <c r="K162" s="15">
        <f t="shared" si="48"/>
        <v>22</v>
      </c>
      <c r="L162" s="15">
        <v>-7.02</v>
      </c>
      <c r="M162" s="15">
        <v>1.3</v>
      </c>
      <c r="N162" s="15">
        <f t="shared" si="45"/>
        <v>-5.3999999999999995</v>
      </c>
      <c r="O162" s="15"/>
      <c r="P162" s="15"/>
      <c r="Q162" s="15"/>
      <c r="R162" s="15"/>
      <c r="S162" s="15"/>
    </row>
    <row r="163" spans="1:19" x14ac:dyDescent="0.15">
      <c r="A163" s="23">
        <v>23</v>
      </c>
      <c r="B163" s="17">
        <f>B162+1</f>
        <v>5</v>
      </c>
      <c r="C163" s="23">
        <f t="shared" si="49"/>
        <v>11</v>
      </c>
      <c r="D163" s="23">
        <f t="shared" si="50"/>
        <v>17</v>
      </c>
      <c r="E163" s="23">
        <v>239.08</v>
      </c>
      <c r="F163" s="23">
        <v>1.24</v>
      </c>
      <c r="G163" s="23">
        <f t="shared" si="44"/>
        <v>192.80645161290323</v>
      </c>
      <c r="H163" s="15">
        <v>8</v>
      </c>
      <c r="I163" s="15">
        <v>9</v>
      </c>
      <c r="J163" s="15">
        <f t="shared" si="47"/>
        <v>22</v>
      </c>
      <c r="K163" s="15">
        <f t="shared" si="48"/>
        <v>23</v>
      </c>
      <c r="L163" s="15">
        <v>-7.69</v>
      </c>
      <c r="M163" s="15">
        <v>1.4</v>
      </c>
      <c r="N163" s="15">
        <f t="shared" si="45"/>
        <v>-5.4928571428571438</v>
      </c>
      <c r="O163" s="15"/>
      <c r="P163" s="15"/>
      <c r="Q163" s="15"/>
      <c r="R163" s="15"/>
      <c r="S163" s="15"/>
    </row>
    <row r="164" spans="1:19" x14ac:dyDescent="0.15">
      <c r="A164" s="23">
        <v>23</v>
      </c>
      <c r="B164" s="17">
        <f>B163+1</f>
        <v>6</v>
      </c>
      <c r="C164" s="23">
        <f t="shared" si="49"/>
        <v>13</v>
      </c>
      <c r="D164" s="23">
        <f t="shared" si="50"/>
        <v>20</v>
      </c>
      <c r="E164" s="23">
        <v>158.72999999999999</v>
      </c>
      <c r="F164" s="23">
        <v>1.59</v>
      </c>
      <c r="G164" s="23">
        <f t="shared" ref="G164:G171" si="51">E164/F164</f>
        <v>99.830188679245268</v>
      </c>
      <c r="H164" s="15">
        <v>8</v>
      </c>
      <c r="I164" s="15">
        <v>9</v>
      </c>
      <c r="J164" s="15">
        <f t="shared" si="47"/>
        <v>23</v>
      </c>
      <c r="K164" s="15">
        <f t="shared" si="48"/>
        <v>24</v>
      </c>
      <c r="L164" s="15">
        <v>-10.06</v>
      </c>
      <c r="M164" s="15">
        <v>1.4</v>
      </c>
      <c r="N164" s="15">
        <f t="shared" si="45"/>
        <v>-7.1857142857142868</v>
      </c>
      <c r="O164" s="15"/>
      <c r="P164" s="15"/>
      <c r="Q164" s="15"/>
      <c r="R164" s="15"/>
      <c r="S164" s="15"/>
    </row>
    <row r="165" spans="1:19" x14ac:dyDescent="0.15">
      <c r="A165" s="23">
        <v>24</v>
      </c>
      <c r="B165" s="17">
        <v>1</v>
      </c>
      <c r="C165" s="23">
        <v>2</v>
      </c>
      <c r="D165" s="23">
        <f>C165+1</f>
        <v>3</v>
      </c>
      <c r="E165" s="23">
        <v>1820.79</v>
      </c>
      <c r="F165" s="23">
        <v>1.36</v>
      </c>
      <c r="G165" s="23">
        <f t="shared" si="51"/>
        <v>1338.8161764705881</v>
      </c>
      <c r="H165" s="15">
        <v>8</v>
      </c>
      <c r="I165" s="15">
        <v>9</v>
      </c>
      <c r="J165" s="15">
        <f>J164+1</f>
        <v>24</v>
      </c>
      <c r="K165" s="15">
        <v>1</v>
      </c>
      <c r="L165" s="15">
        <v>-11.77</v>
      </c>
      <c r="M165" s="15">
        <v>1.41</v>
      </c>
      <c r="N165" s="15">
        <f t="shared" si="45"/>
        <v>-8.3475177304964543</v>
      </c>
      <c r="O165" s="15"/>
      <c r="P165" s="15"/>
      <c r="Q165" s="15"/>
      <c r="R165" s="15"/>
      <c r="S165" s="15"/>
    </row>
    <row r="166" spans="1:19" x14ac:dyDescent="0.15">
      <c r="A166" s="23">
        <v>24</v>
      </c>
      <c r="B166" s="17">
        <f t="shared" ref="B166:B171" si="52">B165+1</f>
        <v>2</v>
      </c>
      <c r="C166" s="23">
        <f t="shared" ref="C166:C171" si="53">C165+2</f>
        <v>4</v>
      </c>
      <c r="D166" s="23">
        <f t="shared" ref="D166:D171" si="54">D165+3</f>
        <v>6</v>
      </c>
      <c r="E166" s="23">
        <v>918.31</v>
      </c>
      <c r="F166" s="23">
        <v>1.38</v>
      </c>
      <c r="G166" s="23">
        <f t="shared" si="51"/>
        <v>665.44202898550725</v>
      </c>
      <c r="H166" s="15">
        <v>8</v>
      </c>
      <c r="I166" s="15">
        <v>9</v>
      </c>
      <c r="J166" s="15">
        <v>1</v>
      </c>
      <c r="K166" s="15">
        <f t="shared" ref="K166:K171" si="55">K165+1</f>
        <v>2</v>
      </c>
      <c r="L166" s="15">
        <v>-15.42</v>
      </c>
      <c r="M166" s="15">
        <v>1.38</v>
      </c>
      <c r="N166" s="15">
        <f t="shared" si="45"/>
        <v>-11.173913043478262</v>
      </c>
      <c r="O166" s="15"/>
      <c r="P166" s="15"/>
      <c r="Q166" s="15"/>
      <c r="R166" s="15"/>
      <c r="S166" s="15"/>
    </row>
    <row r="167" spans="1:19" x14ac:dyDescent="0.15">
      <c r="A167" s="23">
        <v>24</v>
      </c>
      <c r="B167" s="17">
        <f t="shared" si="52"/>
        <v>3</v>
      </c>
      <c r="C167" s="23">
        <f t="shared" si="53"/>
        <v>6</v>
      </c>
      <c r="D167" s="23">
        <f t="shared" si="54"/>
        <v>9</v>
      </c>
      <c r="E167" s="23">
        <v>667.12</v>
      </c>
      <c r="F167" s="23">
        <v>1.38</v>
      </c>
      <c r="G167" s="23">
        <f t="shared" si="51"/>
        <v>483.4202898550725</v>
      </c>
      <c r="H167" s="15">
        <v>8</v>
      </c>
      <c r="I167" s="15">
        <v>9</v>
      </c>
      <c r="J167" s="15">
        <f>J166+1</f>
        <v>2</v>
      </c>
      <c r="K167" s="15">
        <f t="shared" si="55"/>
        <v>3</v>
      </c>
      <c r="L167" s="15">
        <v>-20.52</v>
      </c>
      <c r="M167" s="15">
        <v>1.39</v>
      </c>
      <c r="N167" s="15">
        <f t="shared" si="45"/>
        <v>-14.762589928057555</v>
      </c>
      <c r="O167" s="15"/>
      <c r="P167" s="15"/>
      <c r="Q167" s="15"/>
      <c r="R167" s="15"/>
      <c r="S167" s="15"/>
    </row>
    <row r="168" spans="1:19" x14ac:dyDescent="0.15">
      <c r="A168" s="23">
        <v>24</v>
      </c>
      <c r="B168" s="17">
        <f t="shared" si="52"/>
        <v>4</v>
      </c>
      <c r="C168" s="23">
        <f t="shared" si="53"/>
        <v>8</v>
      </c>
      <c r="D168" s="23">
        <f t="shared" si="54"/>
        <v>12</v>
      </c>
      <c r="E168" s="23">
        <v>460.18</v>
      </c>
      <c r="F168" s="23">
        <v>1.32</v>
      </c>
      <c r="G168" s="23">
        <f t="shared" si="51"/>
        <v>348.62121212121212</v>
      </c>
      <c r="H168" s="15">
        <v>8</v>
      </c>
      <c r="I168" s="15">
        <v>9</v>
      </c>
      <c r="J168" s="15">
        <f>J167+1</f>
        <v>3</v>
      </c>
      <c r="K168" s="15">
        <f t="shared" si="55"/>
        <v>4</v>
      </c>
      <c r="L168" s="15">
        <v>-34.130000000000003</v>
      </c>
      <c r="M168" s="15">
        <v>1.38</v>
      </c>
      <c r="N168" s="15">
        <f t="shared" si="45"/>
        <v>-24.731884057971019</v>
      </c>
      <c r="O168" s="15"/>
      <c r="P168" s="15"/>
      <c r="Q168" s="15"/>
      <c r="R168" s="15"/>
      <c r="S168" s="15"/>
    </row>
    <row r="169" spans="1:19" x14ac:dyDescent="0.15">
      <c r="A169" s="23">
        <v>24</v>
      </c>
      <c r="B169" s="17">
        <f t="shared" si="52"/>
        <v>5</v>
      </c>
      <c r="C169" s="23">
        <f t="shared" si="53"/>
        <v>10</v>
      </c>
      <c r="D169" s="23">
        <f t="shared" si="54"/>
        <v>15</v>
      </c>
      <c r="E169" s="23">
        <v>400.46</v>
      </c>
      <c r="F169" s="23">
        <v>1.48</v>
      </c>
      <c r="G169" s="23">
        <f t="shared" si="51"/>
        <v>270.58108108108109</v>
      </c>
      <c r="H169" s="15">
        <v>8</v>
      </c>
      <c r="I169" s="15">
        <v>9</v>
      </c>
      <c r="J169" s="15">
        <f>J168+1</f>
        <v>4</v>
      </c>
      <c r="K169" s="15">
        <f t="shared" si="55"/>
        <v>5</v>
      </c>
      <c r="L169" s="15">
        <v>-63.57</v>
      </c>
      <c r="M169" s="15">
        <v>1.37</v>
      </c>
      <c r="N169" s="15">
        <f t="shared" si="45"/>
        <v>-46.401459854014597</v>
      </c>
      <c r="O169" s="15"/>
      <c r="P169" s="15"/>
      <c r="Q169" s="15"/>
      <c r="R169" s="15"/>
      <c r="S169" s="15"/>
    </row>
    <row r="170" spans="1:19" x14ac:dyDescent="0.15">
      <c r="A170" s="23">
        <v>24</v>
      </c>
      <c r="B170" s="17">
        <f t="shared" si="52"/>
        <v>6</v>
      </c>
      <c r="C170" s="23">
        <f t="shared" si="53"/>
        <v>12</v>
      </c>
      <c r="D170" s="23">
        <f t="shared" si="54"/>
        <v>18</v>
      </c>
      <c r="E170" s="23">
        <v>247.03</v>
      </c>
      <c r="F170" s="23">
        <v>1.31</v>
      </c>
      <c r="G170" s="23">
        <f t="shared" si="51"/>
        <v>188.57251908396947</v>
      </c>
      <c r="H170" s="15">
        <v>8</v>
      </c>
      <c r="I170" s="15">
        <v>9</v>
      </c>
      <c r="J170" s="15">
        <f>J169+1</f>
        <v>5</v>
      </c>
      <c r="K170" s="15">
        <f t="shared" si="55"/>
        <v>6</v>
      </c>
      <c r="L170" s="15">
        <v>-137.75</v>
      </c>
      <c r="M170" s="15">
        <v>1.35</v>
      </c>
      <c r="N170" s="15">
        <f t="shared" si="45"/>
        <v>-102.03703703703702</v>
      </c>
      <c r="O170" s="15"/>
      <c r="P170" s="15"/>
      <c r="Q170" s="15"/>
      <c r="R170" s="15"/>
      <c r="S170" s="15"/>
    </row>
    <row r="171" spans="1:19" x14ac:dyDescent="0.15">
      <c r="A171" s="23">
        <v>24</v>
      </c>
      <c r="B171" s="17">
        <f t="shared" si="52"/>
        <v>7</v>
      </c>
      <c r="C171" s="23">
        <f t="shared" si="53"/>
        <v>14</v>
      </c>
      <c r="D171" s="23">
        <f t="shared" si="54"/>
        <v>21</v>
      </c>
      <c r="E171" s="23">
        <v>130.51</v>
      </c>
      <c r="F171" s="23">
        <v>1.3</v>
      </c>
      <c r="G171" s="23">
        <f t="shared" si="51"/>
        <v>100.39230769230768</v>
      </c>
      <c r="H171" s="15">
        <v>8</v>
      </c>
      <c r="I171" s="15">
        <v>9</v>
      </c>
      <c r="J171" s="15">
        <f>J170+1</f>
        <v>6</v>
      </c>
      <c r="K171" s="15">
        <f t="shared" si="55"/>
        <v>7</v>
      </c>
      <c r="L171" s="15">
        <v>-536.09</v>
      </c>
      <c r="M171" s="15">
        <v>1.39</v>
      </c>
      <c r="N171" s="15">
        <f t="shared" si="45"/>
        <v>-385.6762589928058</v>
      </c>
      <c r="O171" s="15"/>
      <c r="P171" s="15"/>
      <c r="Q171" s="15"/>
      <c r="R171" s="15"/>
      <c r="S171" s="15"/>
    </row>
    <row r="172" spans="1:19" x14ac:dyDescent="0.15">
      <c r="A172" s="23"/>
      <c r="B172" s="23"/>
      <c r="C172" s="23"/>
      <c r="D172" s="23"/>
      <c r="E172" s="23"/>
      <c r="F172" s="23"/>
      <c r="G172" s="23"/>
      <c r="H172" s="15">
        <v>9</v>
      </c>
      <c r="I172" s="15">
        <v>10</v>
      </c>
      <c r="J172" s="15">
        <f>I172+1</f>
        <v>11</v>
      </c>
      <c r="K172" s="15">
        <f>J172+1</f>
        <v>12</v>
      </c>
      <c r="L172" s="15">
        <v>-441.43</v>
      </c>
      <c r="M172" s="15">
        <v>1.1100000000000001</v>
      </c>
      <c r="N172" s="15">
        <f t="shared" si="45"/>
        <v>-397.68468468468467</v>
      </c>
      <c r="O172" s="15"/>
      <c r="P172" s="15"/>
      <c r="Q172" s="15"/>
      <c r="R172" s="15"/>
      <c r="S172" s="15"/>
    </row>
    <row r="173" spans="1:19" x14ac:dyDescent="0.15">
      <c r="A173" s="23"/>
      <c r="B173" s="23"/>
      <c r="C173" s="23"/>
      <c r="D173" s="23"/>
      <c r="E173" s="23"/>
      <c r="F173" s="23"/>
      <c r="G173" s="23"/>
      <c r="H173" s="15">
        <v>9</v>
      </c>
      <c r="I173" s="15">
        <v>10</v>
      </c>
      <c r="J173" s="15">
        <f t="shared" ref="J173:J184" si="56">J172+1</f>
        <v>12</v>
      </c>
      <c r="K173" s="15">
        <f t="shared" ref="K173:K184" si="57">K172+1</f>
        <v>13</v>
      </c>
      <c r="L173" s="15">
        <v>-117.08</v>
      </c>
      <c r="M173" s="15">
        <v>1.1399999999999999</v>
      </c>
      <c r="N173" s="15">
        <f t="shared" si="45"/>
        <v>-102.70175438596492</v>
      </c>
      <c r="O173" s="15"/>
      <c r="P173" s="15"/>
      <c r="Q173" s="15"/>
      <c r="R173" s="15"/>
      <c r="S173" s="15"/>
    </row>
    <row r="174" spans="1:19" x14ac:dyDescent="0.15">
      <c r="A174" s="23"/>
      <c r="B174" s="23"/>
      <c r="C174" s="23"/>
      <c r="D174" s="23"/>
      <c r="E174" s="23"/>
      <c r="F174" s="23"/>
      <c r="G174" s="23"/>
      <c r="H174" s="15">
        <v>9</v>
      </c>
      <c r="I174" s="15">
        <v>10</v>
      </c>
      <c r="J174" s="15">
        <f t="shared" si="56"/>
        <v>13</v>
      </c>
      <c r="K174" s="15">
        <f t="shared" si="57"/>
        <v>14</v>
      </c>
      <c r="L174" s="15">
        <v>-46.47</v>
      </c>
      <c r="M174" s="15">
        <v>1.0900000000000001</v>
      </c>
      <c r="N174" s="15">
        <f t="shared" si="45"/>
        <v>-42.633027522935777</v>
      </c>
      <c r="O174" s="15"/>
      <c r="P174" s="15"/>
      <c r="Q174" s="15"/>
      <c r="R174" s="15"/>
      <c r="S174" s="15"/>
    </row>
    <row r="175" spans="1:19" x14ac:dyDescent="0.15">
      <c r="A175" s="23"/>
      <c r="B175" s="23"/>
      <c r="C175" s="23"/>
      <c r="D175" s="23"/>
      <c r="E175" s="23"/>
      <c r="F175" s="23"/>
      <c r="G175" s="23"/>
      <c r="H175" s="15">
        <v>9</v>
      </c>
      <c r="I175" s="15">
        <v>10</v>
      </c>
      <c r="J175" s="15">
        <f t="shared" si="56"/>
        <v>14</v>
      </c>
      <c r="K175" s="15">
        <f t="shared" si="57"/>
        <v>15</v>
      </c>
      <c r="L175" s="15">
        <v>-23.3</v>
      </c>
      <c r="M175" s="15">
        <v>1.1299999999999999</v>
      </c>
      <c r="N175" s="15">
        <f t="shared" si="45"/>
        <v>-20.619469026548675</v>
      </c>
      <c r="O175" s="15"/>
      <c r="P175" s="15"/>
      <c r="Q175" s="15"/>
      <c r="R175" s="15"/>
      <c r="S175" s="15"/>
    </row>
    <row r="176" spans="1:19" x14ac:dyDescent="0.15">
      <c r="A176" s="23"/>
      <c r="B176" s="23"/>
      <c r="C176" s="23"/>
      <c r="D176" s="23"/>
      <c r="E176" s="23"/>
      <c r="F176" s="23"/>
      <c r="G176" s="23"/>
      <c r="H176" s="15">
        <v>9</v>
      </c>
      <c r="I176" s="15">
        <v>10</v>
      </c>
      <c r="J176" s="15">
        <f t="shared" si="56"/>
        <v>15</v>
      </c>
      <c r="K176" s="15">
        <f t="shared" si="57"/>
        <v>16</v>
      </c>
      <c r="L176" s="15">
        <v>-15.08</v>
      </c>
      <c r="M176" s="15">
        <v>1.1000000000000001</v>
      </c>
      <c r="N176" s="15">
        <f t="shared" si="45"/>
        <v>-13.709090909090907</v>
      </c>
      <c r="O176" s="15"/>
      <c r="P176" s="15"/>
      <c r="Q176" s="15"/>
      <c r="R176" s="15"/>
      <c r="S176" s="15"/>
    </row>
    <row r="177" spans="1:19" x14ac:dyDescent="0.15">
      <c r="A177" s="23"/>
      <c r="B177" s="23"/>
      <c r="C177" s="23"/>
      <c r="D177" s="23"/>
      <c r="E177" s="23"/>
      <c r="F177" s="23"/>
      <c r="G177" s="23"/>
      <c r="H177" s="15">
        <v>9</v>
      </c>
      <c r="I177" s="15">
        <v>10</v>
      </c>
      <c r="J177" s="15">
        <f t="shared" si="56"/>
        <v>16</v>
      </c>
      <c r="K177" s="15">
        <f t="shared" si="57"/>
        <v>17</v>
      </c>
      <c r="L177" s="15">
        <v>-6.23</v>
      </c>
      <c r="M177" s="15">
        <v>1.1000000000000001</v>
      </c>
      <c r="N177" s="15">
        <f t="shared" si="45"/>
        <v>-5.6636363636363631</v>
      </c>
      <c r="O177" s="15"/>
      <c r="P177" s="15"/>
      <c r="Q177" s="15"/>
      <c r="R177" s="15"/>
      <c r="S177" s="15"/>
    </row>
    <row r="178" spans="1:19" x14ac:dyDescent="0.15">
      <c r="A178" s="23"/>
      <c r="B178" s="23"/>
      <c r="C178" s="23"/>
      <c r="D178" s="23"/>
      <c r="E178" s="23"/>
      <c r="F178" s="23"/>
      <c r="G178" s="23"/>
      <c r="H178" s="15">
        <v>9</v>
      </c>
      <c r="I178" s="15">
        <v>10</v>
      </c>
      <c r="J178" s="15">
        <f t="shared" si="56"/>
        <v>17</v>
      </c>
      <c r="K178" s="15">
        <f t="shared" si="57"/>
        <v>18</v>
      </c>
      <c r="L178" s="15">
        <v>-5.85</v>
      </c>
      <c r="M178" s="15">
        <v>1.1100000000000001</v>
      </c>
      <c r="N178" s="15">
        <f t="shared" si="45"/>
        <v>-5.2702702702702693</v>
      </c>
      <c r="O178" s="15"/>
      <c r="P178" s="15"/>
      <c r="Q178" s="15"/>
      <c r="R178" s="15"/>
      <c r="S178" s="15"/>
    </row>
    <row r="179" spans="1:19" x14ac:dyDescent="0.15">
      <c r="A179" s="23"/>
      <c r="B179" s="23"/>
      <c r="C179" s="23"/>
      <c r="D179" s="23"/>
      <c r="E179" s="23"/>
      <c r="F179" s="23"/>
      <c r="G179" s="23"/>
      <c r="H179" s="15">
        <v>9</v>
      </c>
      <c r="I179" s="15">
        <v>10</v>
      </c>
      <c r="J179" s="15">
        <f t="shared" si="56"/>
        <v>18</v>
      </c>
      <c r="K179" s="15">
        <f t="shared" si="57"/>
        <v>19</v>
      </c>
      <c r="L179" s="15">
        <v>-5.64</v>
      </c>
      <c r="M179" s="15">
        <v>1.1100000000000001</v>
      </c>
      <c r="N179" s="15">
        <f t="shared" si="45"/>
        <v>-5.0810810810810807</v>
      </c>
      <c r="O179" s="15"/>
      <c r="P179" s="15"/>
      <c r="Q179" s="15"/>
      <c r="R179" s="15"/>
      <c r="S179" s="15"/>
    </row>
    <row r="180" spans="1:19" x14ac:dyDescent="0.15">
      <c r="A180" s="23"/>
      <c r="B180" s="23"/>
      <c r="C180" s="23"/>
      <c r="D180" s="23"/>
      <c r="E180" s="23"/>
      <c r="F180" s="23"/>
      <c r="G180" s="23"/>
      <c r="H180" s="15">
        <v>9</v>
      </c>
      <c r="I180" s="15">
        <v>10</v>
      </c>
      <c r="J180" s="15">
        <f t="shared" si="56"/>
        <v>19</v>
      </c>
      <c r="K180" s="15">
        <f t="shared" si="57"/>
        <v>20</v>
      </c>
      <c r="L180" s="15">
        <v>-3.04</v>
      </c>
      <c r="M180" s="15">
        <v>1.1100000000000001</v>
      </c>
      <c r="N180" s="15">
        <f t="shared" si="45"/>
        <v>-2.7387387387387387</v>
      </c>
      <c r="O180" s="15"/>
      <c r="P180" s="15"/>
      <c r="Q180" s="15"/>
      <c r="R180" s="15"/>
      <c r="S180" s="15"/>
    </row>
    <row r="181" spans="1:19" x14ac:dyDescent="0.15">
      <c r="A181" s="23"/>
      <c r="B181" s="23"/>
      <c r="C181" s="23"/>
      <c r="D181" s="23"/>
      <c r="E181" s="23"/>
      <c r="F181" s="23"/>
      <c r="G181" s="23"/>
      <c r="H181" s="15">
        <v>9</v>
      </c>
      <c r="I181" s="15">
        <v>10</v>
      </c>
      <c r="J181" s="15">
        <f t="shared" si="56"/>
        <v>20</v>
      </c>
      <c r="K181" s="15">
        <f t="shared" si="57"/>
        <v>21</v>
      </c>
      <c r="L181" s="15">
        <v>-3.33</v>
      </c>
      <c r="M181" s="15">
        <v>1.1200000000000001</v>
      </c>
      <c r="N181" s="15">
        <f t="shared" si="45"/>
        <v>-2.9732142857142856</v>
      </c>
      <c r="O181" s="15"/>
      <c r="P181" s="15"/>
      <c r="Q181" s="15"/>
      <c r="R181" s="15"/>
      <c r="S181" s="15"/>
    </row>
    <row r="182" spans="1:19" x14ac:dyDescent="0.15">
      <c r="A182" s="23"/>
      <c r="B182" s="23"/>
      <c r="C182" s="23"/>
      <c r="D182" s="23"/>
      <c r="E182" s="23"/>
      <c r="F182" s="23"/>
      <c r="G182" s="23"/>
      <c r="H182" s="15">
        <v>9</v>
      </c>
      <c r="I182" s="15">
        <v>10</v>
      </c>
      <c r="J182" s="15">
        <f t="shared" si="56"/>
        <v>21</v>
      </c>
      <c r="K182" s="15">
        <f t="shared" si="57"/>
        <v>22</v>
      </c>
      <c r="L182" s="15">
        <v>-2.31</v>
      </c>
      <c r="M182" s="15">
        <v>1.1000000000000001</v>
      </c>
      <c r="N182" s="15">
        <f t="shared" si="45"/>
        <v>-2.1</v>
      </c>
      <c r="O182" s="15"/>
      <c r="P182" s="15"/>
      <c r="Q182" s="15"/>
      <c r="R182" s="15"/>
      <c r="S182" s="15"/>
    </row>
    <row r="183" spans="1:19" x14ac:dyDescent="0.15">
      <c r="A183" s="23"/>
      <c r="B183" s="23"/>
      <c r="C183" s="23"/>
      <c r="D183" s="23"/>
      <c r="E183" s="23"/>
      <c r="F183" s="23"/>
      <c r="G183" s="23"/>
      <c r="H183" s="15">
        <v>9</v>
      </c>
      <c r="I183" s="15">
        <v>10</v>
      </c>
      <c r="J183" s="15">
        <f t="shared" si="56"/>
        <v>22</v>
      </c>
      <c r="K183" s="15">
        <f t="shared" si="57"/>
        <v>23</v>
      </c>
      <c r="L183" s="15">
        <v>-4.22</v>
      </c>
      <c r="M183" s="15">
        <v>1.26</v>
      </c>
      <c r="N183" s="15">
        <f t="shared" si="45"/>
        <v>-3.3492063492063489</v>
      </c>
      <c r="O183" s="15"/>
      <c r="P183" s="15"/>
      <c r="Q183" s="15"/>
      <c r="R183" s="15"/>
      <c r="S183" s="15"/>
    </row>
    <row r="184" spans="1:19" x14ac:dyDescent="0.15">
      <c r="A184" s="23"/>
      <c r="B184" s="23"/>
      <c r="C184" s="23"/>
      <c r="D184" s="23"/>
      <c r="E184" s="23"/>
      <c r="F184" s="23"/>
      <c r="G184" s="23"/>
      <c r="H184" s="15">
        <v>9</v>
      </c>
      <c r="I184" s="15">
        <v>10</v>
      </c>
      <c r="J184" s="15">
        <f t="shared" si="56"/>
        <v>23</v>
      </c>
      <c r="K184" s="15">
        <f t="shared" si="57"/>
        <v>24</v>
      </c>
      <c r="L184" s="15">
        <v>-3.61</v>
      </c>
      <c r="M184" s="15">
        <v>1.27</v>
      </c>
      <c r="N184" s="15">
        <f t="shared" si="45"/>
        <v>-2.8425196850393699</v>
      </c>
      <c r="O184" s="15"/>
      <c r="P184" s="15"/>
      <c r="Q184" s="15"/>
      <c r="R184" s="15"/>
      <c r="S184" s="15"/>
    </row>
    <row r="185" spans="1:19" x14ac:dyDescent="0.15">
      <c r="A185" s="23"/>
      <c r="B185" s="23"/>
      <c r="C185" s="23"/>
      <c r="D185" s="23"/>
      <c r="E185" s="23"/>
      <c r="F185" s="23"/>
      <c r="G185" s="23"/>
      <c r="H185" s="15">
        <v>9</v>
      </c>
      <c r="I185" s="15">
        <v>10</v>
      </c>
      <c r="J185" s="15">
        <f>J184+1</f>
        <v>24</v>
      </c>
      <c r="K185" s="15">
        <v>1</v>
      </c>
      <c r="L185" s="15">
        <v>-4.34</v>
      </c>
      <c r="M185" s="15">
        <v>1.26</v>
      </c>
      <c r="N185" s="15">
        <f t="shared" si="45"/>
        <v>-3.4444444444444442</v>
      </c>
      <c r="O185" s="15"/>
      <c r="P185" s="15"/>
      <c r="Q185" s="15"/>
      <c r="R185" s="15"/>
      <c r="S185" s="15"/>
    </row>
    <row r="186" spans="1:19" x14ac:dyDescent="0.15">
      <c r="A186" s="23"/>
      <c r="B186" s="23"/>
      <c r="C186" s="23"/>
      <c r="D186" s="23"/>
      <c r="E186" s="23"/>
      <c r="F186" s="23"/>
      <c r="G186" s="23"/>
      <c r="H186" s="15">
        <v>9</v>
      </c>
      <c r="I186" s="15">
        <v>10</v>
      </c>
      <c r="J186" s="15">
        <v>1</v>
      </c>
      <c r="K186" s="15">
        <f t="shared" ref="K186:K192" si="58">K185+1</f>
        <v>2</v>
      </c>
      <c r="L186" s="15">
        <v>-5.05</v>
      </c>
      <c r="M186" s="15">
        <v>1.26</v>
      </c>
      <c r="N186" s="15">
        <f t="shared" si="45"/>
        <v>-4.0079365079365079</v>
      </c>
      <c r="O186" s="15"/>
      <c r="P186" s="15"/>
      <c r="Q186" s="15"/>
      <c r="R186" s="15"/>
      <c r="S186" s="15"/>
    </row>
    <row r="187" spans="1:19" x14ac:dyDescent="0.15">
      <c r="A187" s="23"/>
      <c r="B187" s="23"/>
      <c r="C187" s="23"/>
      <c r="D187" s="23"/>
      <c r="E187" s="23"/>
      <c r="F187" s="23"/>
      <c r="G187" s="23"/>
      <c r="H187" s="15">
        <v>9</v>
      </c>
      <c r="I187" s="15">
        <v>10</v>
      </c>
      <c r="J187" s="15">
        <f t="shared" ref="J187:J192" si="59">J186+1</f>
        <v>2</v>
      </c>
      <c r="K187" s="15">
        <f t="shared" si="58"/>
        <v>3</v>
      </c>
      <c r="L187" s="15">
        <v>-9.2100000000000009</v>
      </c>
      <c r="M187" s="15">
        <v>1.25</v>
      </c>
      <c r="N187" s="15">
        <f t="shared" si="45"/>
        <v>-7.3680000000000003</v>
      </c>
      <c r="O187" s="15"/>
      <c r="P187" s="15"/>
      <c r="Q187" s="15"/>
      <c r="R187" s="15"/>
      <c r="S187" s="15"/>
    </row>
    <row r="188" spans="1:19" x14ac:dyDescent="0.15">
      <c r="A188" s="23"/>
      <c r="B188" s="23"/>
      <c r="C188" s="23"/>
      <c r="D188" s="23"/>
      <c r="E188" s="23"/>
      <c r="F188" s="23"/>
      <c r="G188" s="23"/>
      <c r="H188" s="15">
        <v>9</v>
      </c>
      <c r="I188" s="15">
        <v>10</v>
      </c>
      <c r="J188" s="15">
        <f t="shared" si="59"/>
        <v>3</v>
      </c>
      <c r="K188" s="15">
        <f t="shared" si="58"/>
        <v>4</v>
      </c>
      <c r="L188" s="15">
        <v>-14.56</v>
      </c>
      <c r="M188" s="15">
        <v>1.24</v>
      </c>
      <c r="N188" s="15">
        <f t="shared" si="45"/>
        <v>-11.741935483870968</v>
      </c>
      <c r="O188" s="15"/>
      <c r="P188" s="15"/>
      <c r="Q188" s="15"/>
      <c r="R188" s="15"/>
      <c r="S188" s="15"/>
    </row>
    <row r="189" spans="1:19" x14ac:dyDescent="0.15">
      <c r="A189" s="23"/>
      <c r="B189" s="23"/>
      <c r="C189" s="23"/>
      <c r="D189" s="23"/>
      <c r="E189" s="23"/>
      <c r="F189" s="23"/>
      <c r="G189" s="23"/>
      <c r="H189" s="15">
        <v>9</v>
      </c>
      <c r="I189" s="15">
        <v>10</v>
      </c>
      <c r="J189" s="15">
        <f t="shared" si="59"/>
        <v>4</v>
      </c>
      <c r="K189" s="15">
        <f t="shared" si="58"/>
        <v>5</v>
      </c>
      <c r="L189" s="15">
        <v>-26.97</v>
      </c>
      <c r="M189" s="15">
        <v>1.26</v>
      </c>
      <c r="N189" s="15">
        <f t="shared" si="45"/>
        <v>-21.404761904761905</v>
      </c>
      <c r="O189" s="15"/>
      <c r="P189" s="15"/>
      <c r="Q189" s="15"/>
      <c r="R189" s="15"/>
      <c r="S189" s="15"/>
    </row>
    <row r="190" spans="1:19" x14ac:dyDescent="0.15">
      <c r="A190" s="23"/>
      <c r="B190" s="23"/>
      <c r="C190" s="23"/>
      <c r="D190" s="23"/>
      <c r="E190" s="23"/>
      <c r="F190" s="23"/>
      <c r="G190" s="23"/>
      <c r="H190" s="15">
        <v>9</v>
      </c>
      <c r="I190" s="15">
        <v>10</v>
      </c>
      <c r="J190" s="15">
        <f t="shared" si="59"/>
        <v>5</v>
      </c>
      <c r="K190" s="15">
        <f t="shared" si="58"/>
        <v>6</v>
      </c>
      <c r="L190" s="15">
        <v>-52.44</v>
      </c>
      <c r="M190" s="15">
        <v>1.3</v>
      </c>
      <c r="N190" s="15">
        <f t="shared" si="45"/>
        <v>-40.338461538461537</v>
      </c>
      <c r="O190" s="15"/>
      <c r="P190" s="15"/>
      <c r="Q190" s="15"/>
      <c r="R190" s="15"/>
      <c r="S190" s="15"/>
    </row>
    <row r="191" spans="1:19" x14ac:dyDescent="0.15">
      <c r="A191" s="23"/>
      <c r="B191" s="23"/>
      <c r="C191" s="23"/>
      <c r="D191" s="23"/>
      <c r="E191" s="23"/>
      <c r="F191" s="23"/>
      <c r="G191" s="23"/>
      <c r="H191" s="15">
        <v>9</v>
      </c>
      <c r="I191" s="15">
        <v>10</v>
      </c>
      <c r="J191" s="15">
        <f t="shared" si="59"/>
        <v>6</v>
      </c>
      <c r="K191" s="15">
        <f t="shared" si="58"/>
        <v>7</v>
      </c>
      <c r="L191" s="15">
        <v>-130.41999999999999</v>
      </c>
      <c r="M191" s="15">
        <v>1.28</v>
      </c>
      <c r="N191" s="15">
        <f t="shared" si="45"/>
        <v>-101.89062499999999</v>
      </c>
      <c r="O191" s="15"/>
      <c r="P191" s="15"/>
      <c r="Q191" s="15"/>
      <c r="R191" s="15"/>
      <c r="S191" s="15"/>
    </row>
    <row r="192" spans="1:19" x14ac:dyDescent="0.15">
      <c r="A192" s="23"/>
      <c r="B192" s="23"/>
      <c r="C192" s="23"/>
      <c r="D192" s="23"/>
      <c r="E192" s="23"/>
      <c r="F192" s="23"/>
      <c r="G192" s="23"/>
      <c r="H192" s="15">
        <v>9</v>
      </c>
      <c r="I192" s="15">
        <v>10</v>
      </c>
      <c r="J192" s="15">
        <f t="shared" si="59"/>
        <v>7</v>
      </c>
      <c r="K192" s="15">
        <f t="shared" si="58"/>
        <v>8</v>
      </c>
      <c r="L192" s="15">
        <v>-533.63</v>
      </c>
      <c r="M192" s="15">
        <v>1.31</v>
      </c>
      <c r="N192" s="15">
        <f t="shared" si="45"/>
        <v>-407.35114503816794</v>
      </c>
      <c r="O192" s="15"/>
      <c r="P192" s="15"/>
      <c r="Q192" s="15"/>
      <c r="R192" s="15"/>
      <c r="S192" s="15"/>
    </row>
    <row r="193" spans="1:19" x14ac:dyDescent="0.15">
      <c r="A193" s="23"/>
      <c r="B193" s="23"/>
      <c r="C193" s="23"/>
      <c r="D193" s="23"/>
      <c r="E193" s="23"/>
      <c r="F193" s="23"/>
      <c r="G193" s="23"/>
      <c r="H193" s="15">
        <v>10</v>
      </c>
      <c r="I193" s="15">
        <v>11</v>
      </c>
      <c r="J193" s="15">
        <f>I193+1</f>
        <v>12</v>
      </c>
      <c r="K193" s="15">
        <f>J193+1</f>
        <v>13</v>
      </c>
      <c r="L193" s="15">
        <v>-409.68</v>
      </c>
      <c r="M193" s="15">
        <v>1.0900000000000001</v>
      </c>
      <c r="N193" s="15">
        <f t="shared" si="45"/>
        <v>-375.85321100917429</v>
      </c>
      <c r="O193" s="15"/>
      <c r="P193" s="15"/>
      <c r="Q193" s="15"/>
      <c r="R193" s="15"/>
      <c r="S193" s="15"/>
    </row>
    <row r="194" spans="1:19" x14ac:dyDescent="0.15">
      <c r="A194" s="23"/>
      <c r="B194" s="23"/>
      <c r="C194" s="23"/>
      <c r="D194" s="23"/>
      <c r="E194" s="23"/>
      <c r="F194" s="23"/>
      <c r="G194" s="23"/>
      <c r="H194" s="15">
        <v>10</v>
      </c>
      <c r="I194" s="15">
        <v>11</v>
      </c>
      <c r="J194" s="15">
        <f t="shared" ref="J194:J204" si="60">J193+1</f>
        <v>13</v>
      </c>
      <c r="K194" s="15">
        <f t="shared" ref="K194:K204" si="61">K193+1</f>
        <v>14</v>
      </c>
      <c r="L194" s="15">
        <v>-120.38</v>
      </c>
      <c r="M194" s="15">
        <v>1.1200000000000001</v>
      </c>
      <c r="N194" s="15">
        <f t="shared" si="45"/>
        <v>-107.48214285714285</v>
      </c>
      <c r="O194" s="15"/>
      <c r="P194" s="15"/>
      <c r="Q194" s="15"/>
      <c r="R194" s="15"/>
      <c r="S194" s="15"/>
    </row>
    <row r="195" spans="1:19" x14ac:dyDescent="0.15">
      <c r="A195" s="23"/>
      <c r="B195" s="23"/>
      <c r="C195" s="23"/>
      <c r="D195" s="23"/>
      <c r="E195" s="23"/>
      <c r="F195" s="23"/>
      <c r="G195" s="23"/>
      <c r="H195" s="15">
        <v>10</v>
      </c>
      <c r="I195" s="15">
        <v>11</v>
      </c>
      <c r="J195" s="15">
        <f t="shared" si="60"/>
        <v>14</v>
      </c>
      <c r="K195" s="15">
        <f t="shared" si="61"/>
        <v>15</v>
      </c>
      <c r="L195" s="15">
        <v>-40.83</v>
      </c>
      <c r="M195" s="15">
        <v>1</v>
      </c>
      <c r="N195" s="15">
        <f t="shared" si="45"/>
        <v>-40.83</v>
      </c>
      <c r="O195" s="15"/>
      <c r="P195" s="15"/>
      <c r="Q195" s="15"/>
      <c r="R195" s="15"/>
      <c r="S195" s="15"/>
    </row>
    <row r="196" spans="1:19" x14ac:dyDescent="0.15">
      <c r="A196" s="23"/>
      <c r="B196" s="23"/>
      <c r="C196" s="23"/>
      <c r="D196" s="23"/>
      <c r="E196" s="23"/>
      <c r="F196" s="23"/>
      <c r="G196" s="23"/>
      <c r="H196" s="15">
        <v>10</v>
      </c>
      <c r="I196" s="15">
        <v>11</v>
      </c>
      <c r="J196" s="15">
        <f t="shared" si="60"/>
        <v>15</v>
      </c>
      <c r="K196" s="15">
        <f t="shared" si="61"/>
        <v>16</v>
      </c>
      <c r="L196" s="15">
        <v>-24.19</v>
      </c>
      <c r="M196" s="15">
        <v>1.01</v>
      </c>
      <c r="N196" s="15">
        <f t="shared" ref="N196:N259" si="62">L196/M196</f>
        <v>-23.950495049504951</v>
      </c>
      <c r="O196" s="15"/>
      <c r="P196" s="15"/>
      <c r="Q196" s="15"/>
      <c r="R196" s="15"/>
      <c r="S196" s="15"/>
    </row>
    <row r="197" spans="1:19" x14ac:dyDescent="0.15">
      <c r="A197" s="23"/>
      <c r="B197" s="23"/>
      <c r="C197" s="23"/>
      <c r="D197" s="23"/>
      <c r="E197" s="23"/>
      <c r="F197" s="23"/>
      <c r="G197" s="23"/>
      <c r="H197" s="15">
        <v>10</v>
      </c>
      <c r="I197" s="15">
        <v>11</v>
      </c>
      <c r="J197" s="15">
        <f t="shared" si="60"/>
        <v>16</v>
      </c>
      <c r="K197" s="15">
        <f t="shared" si="61"/>
        <v>17</v>
      </c>
      <c r="L197" s="15">
        <v>-18.850000000000001</v>
      </c>
      <c r="M197" s="15">
        <v>1.01</v>
      </c>
      <c r="N197" s="15">
        <f t="shared" si="62"/>
        <v>-18.663366336633665</v>
      </c>
      <c r="O197" s="15"/>
      <c r="P197" s="15"/>
      <c r="Q197" s="15"/>
      <c r="R197" s="15"/>
      <c r="S197" s="15"/>
    </row>
    <row r="198" spans="1:19" x14ac:dyDescent="0.15">
      <c r="A198" s="23"/>
      <c r="B198" s="23"/>
      <c r="C198" s="23"/>
      <c r="D198" s="23"/>
      <c r="E198" s="23"/>
      <c r="F198" s="23"/>
      <c r="G198" s="23"/>
      <c r="H198" s="15">
        <v>10</v>
      </c>
      <c r="I198" s="15">
        <v>11</v>
      </c>
      <c r="J198" s="15">
        <f t="shared" si="60"/>
        <v>17</v>
      </c>
      <c r="K198" s="15">
        <f t="shared" si="61"/>
        <v>18</v>
      </c>
      <c r="L198" s="15">
        <v>-11.14</v>
      </c>
      <c r="M198" s="15">
        <v>1.01</v>
      </c>
      <c r="N198" s="15">
        <f t="shared" si="62"/>
        <v>-11.029702970297031</v>
      </c>
      <c r="O198" s="15"/>
      <c r="P198" s="15"/>
      <c r="Q198" s="15"/>
      <c r="R198" s="15"/>
      <c r="S198" s="15"/>
    </row>
    <row r="199" spans="1:19" x14ac:dyDescent="0.15">
      <c r="A199" s="23"/>
      <c r="B199" s="23"/>
      <c r="C199" s="23"/>
      <c r="D199" s="23"/>
      <c r="E199" s="23"/>
      <c r="F199" s="23"/>
      <c r="G199" s="23"/>
      <c r="H199" s="15">
        <v>10</v>
      </c>
      <c r="I199" s="15">
        <v>11</v>
      </c>
      <c r="J199" s="15">
        <f t="shared" si="60"/>
        <v>18</v>
      </c>
      <c r="K199" s="15">
        <f t="shared" si="61"/>
        <v>19</v>
      </c>
      <c r="L199" s="15">
        <v>-8.98</v>
      </c>
      <c r="M199" s="15">
        <v>1</v>
      </c>
      <c r="N199" s="15">
        <f t="shared" si="62"/>
        <v>-8.98</v>
      </c>
      <c r="O199" s="15"/>
      <c r="P199" s="15"/>
      <c r="Q199" s="15"/>
      <c r="R199" s="15"/>
      <c r="S199" s="15"/>
    </row>
    <row r="200" spans="1:19" x14ac:dyDescent="0.15">
      <c r="A200" s="23"/>
      <c r="B200" s="23"/>
      <c r="C200" s="23"/>
      <c r="D200" s="23"/>
      <c r="E200" s="23"/>
      <c r="F200" s="23"/>
      <c r="G200" s="23"/>
      <c r="H200" s="15">
        <v>10</v>
      </c>
      <c r="I200" s="15">
        <v>11</v>
      </c>
      <c r="J200" s="15">
        <f t="shared" si="60"/>
        <v>19</v>
      </c>
      <c r="K200" s="15">
        <f t="shared" si="61"/>
        <v>20</v>
      </c>
      <c r="L200" s="15">
        <v>-8.25</v>
      </c>
      <c r="M200" s="15">
        <v>1</v>
      </c>
      <c r="N200" s="15">
        <f t="shared" si="62"/>
        <v>-8.25</v>
      </c>
      <c r="O200" s="15"/>
      <c r="P200" s="15"/>
      <c r="Q200" s="15"/>
      <c r="R200" s="15"/>
      <c r="S200" s="15"/>
    </row>
    <row r="201" spans="1:19" x14ac:dyDescent="0.15">
      <c r="A201" s="23"/>
      <c r="B201" s="23"/>
      <c r="C201" s="23"/>
      <c r="D201" s="23"/>
      <c r="E201" s="23"/>
      <c r="F201" s="23"/>
      <c r="G201" s="23"/>
      <c r="H201" s="15">
        <v>10</v>
      </c>
      <c r="I201" s="15">
        <v>11</v>
      </c>
      <c r="J201" s="15">
        <f t="shared" si="60"/>
        <v>20</v>
      </c>
      <c r="K201" s="15">
        <f t="shared" si="61"/>
        <v>21</v>
      </c>
      <c r="L201" s="15">
        <v>-8.92</v>
      </c>
      <c r="M201" s="15">
        <v>1</v>
      </c>
      <c r="N201" s="15">
        <f t="shared" si="62"/>
        <v>-8.92</v>
      </c>
      <c r="O201" s="15"/>
      <c r="P201" s="15"/>
      <c r="Q201" s="15"/>
      <c r="R201" s="15"/>
      <c r="S201" s="15"/>
    </row>
    <row r="202" spans="1:19" x14ac:dyDescent="0.15">
      <c r="A202" s="23"/>
      <c r="B202" s="23"/>
      <c r="C202" s="23"/>
      <c r="D202" s="23"/>
      <c r="E202" s="23"/>
      <c r="F202" s="23"/>
      <c r="G202" s="23"/>
      <c r="H202" s="15">
        <v>10</v>
      </c>
      <c r="I202" s="15">
        <v>11</v>
      </c>
      <c r="J202" s="15">
        <f t="shared" si="60"/>
        <v>21</v>
      </c>
      <c r="K202" s="15">
        <f t="shared" si="61"/>
        <v>22</v>
      </c>
      <c r="L202" s="15">
        <v>-6.36</v>
      </c>
      <c r="M202" s="15">
        <v>1</v>
      </c>
      <c r="N202" s="15">
        <f t="shared" si="62"/>
        <v>-6.36</v>
      </c>
      <c r="O202" s="15"/>
      <c r="P202" s="15"/>
      <c r="Q202" s="15"/>
      <c r="R202" s="15"/>
      <c r="S202" s="15"/>
    </row>
    <row r="203" spans="1:19" x14ac:dyDescent="0.15">
      <c r="A203" s="23"/>
      <c r="B203" s="23"/>
      <c r="C203" s="23"/>
      <c r="D203" s="23"/>
      <c r="E203" s="23"/>
      <c r="F203" s="23"/>
      <c r="G203" s="23"/>
      <c r="H203" s="15">
        <v>10</v>
      </c>
      <c r="I203" s="15">
        <v>11</v>
      </c>
      <c r="J203" s="15">
        <f t="shared" si="60"/>
        <v>22</v>
      </c>
      <c r="K203" s="15">
        <f t="shared" si="61"/>
        <v>23</v>
      </c>
      <c r="L203" s="15">
        <v>-5.63</v>
      </c>
      <c r="M203" s="15">
        <v>1.1000000000000001</v>
      </c>
      <c r="N203" s="15">
        <f t="shared" si="62"/>
        <v>-5.1181818181818173</v>
      </c>
      <c r="O203" s="15"/>
      <c r="P203" s="15"/>
      <c r="Q203" s="15"/>
      <c r="R203" s="15"/>
      <c r="S203" s="15"/>
    </row>
    <row r="204" spans="1:19" x14ac:dyDescent="0.15">
      <c r="A204" s="23"/>
      <c r="B204" s="23"/>
      <c r="C204" s="23"/>
      <c r="D204" s="23"/>
      <c r="E204" s="23"/>
      <c r="F204" s="23"/>
      <c r="G204" s="23"/>
      <c r="H204" s="15">
        <v>10</v>
      </c>
      <c r="I204" s="15">
        <v>11</v>
      </c>
      <c r="J204" s="15">
        <f t="shared" si="60"/>
        <v>23</v>
      </c>
      <c r="K204" s="15">
        <f t="shared" si="61"/>
        <v>24</v>
      </c>
      <c r="L204" s="15">
        <v>-6.52</v>
      </c>
      <c r="M204" s="15">
        <v>1.08</v>
      </c>
      <c r="N204" s="15">
        <f t="shared" si="62"/>
        <v>-6.0370370370370363</v>
      </c>
      <c r="O204" s="15"/>
      <c r="P204" s="15"/>
      <c r="Q204" s="15"/>
      <c r="R204" s="15"/>
      <c r="S204" s="15"/>
    </row>
    <row r="205" spans="1:19" x14ac:dyDescent="0.15">
      <c r="A205" s="15"/>
      <c r="B205" s="15"/>
      <c r="C205" s="15"/>
      <c r="D205" s="15"/>
      <c r="E205" s="15"/>
      <c r="F205" s="15"/>
      <c r="G205" s="23"/>
      <c r="H205" s="15">
        <v>10</v>
      </c>
      <c r="I205" s="15">
        <v>11</v>
      </c>
      <c r="J205" s="15">
        <f>J204+1</f>
        <v>24</v>
      </c>
      <c r="K205" s="15">
        <v>1</v>
      </c>
      <c r="L205" s="15">
        <v>-6.56</v>
      </c>
      <c r="M205" s="15">
        <v>1.08</v>
      </c>
      <c r="N205" s="15">
        <f t="shared" si="62"/>
        <v>-6.0740740740740735</v>
      </c>
      <c r="O205" s="15"/>
      <c r="P205" s="15"/>
      <c r="Q205" s="15"/>
      <c r="R205" s="15"/>
      <c r="S205" s="15"/>
    </row>
    <row r="206" spans="1:19" x14ac:dyDescent="0.15">
      <c r="A206" s="15"/>
      <c r="B206" s="15"/>
      <c r="C206" s="15"/>
      <c r="D206" s="15"/>
      <c r="E206" s="15"/>
      <c r="F206" s="15"/>
      <c r="G206" s="23"/>
      <c r="H206" s="15">
        <v>10</v>
      </c>
      <c r="I206" s="15">
        <v>11</v>
      </c>
      <c r="J206" s="15">
        <v>1</v>
      </c>
      <c r="K206" s="15">
        <f t="shared" ref="K206:K213" si="63">K205+1</f>
        <v>2</v>
      </c>
      <c r="L206" s="15">
        <v>-10.19</v>
      </c>
      <c r="M206" s="15">
        <v>1.1100000000000001</v>
      </c>
      <c r="N206" s="15">
        <f t="shared" si="62"/>
        <v>-9.1801801801801783</v>
      </c>
      <c r="O206" s="15"/>
      <c r="P206" s="15"/>
      <c r="Q206" s="15"/>
      <c r="R206" s="15"/>
      <c r="S206" s="15"/>
    </row>
    <row r="207" spans="1:19" x14ac:dyDescent="0.15">
      <c r="A207" s="15"/>
      <c r="B207" s="15"/>
      <c r="C207" s="15"/>
      <c r="D207" s="15"/>
      <c r="E207" s="15"/>
      <c r="F207" s="15"/>
      <c r="G207" s="23"/>
      <c r="H207" s="15">
        <v>10</v>
      </c>
      <c r="I207" s="15">
        <v>11</v>
      </c>
      <c r="J207" s="15">
        <f t="shared" ref="J207:J213" si="64">J206+1</f>
        <v>2</v>
      </c>
      <c r="K207" s="15">
        <f t="shared" si="63"/>
        <v>3</v>
      </c>
      <c r="L207" s="15">
        <v>-9.4700000000000006</v>
      </c>
      <c r="M207" s="15">
        <v>1.1100000000000001</v>
      </c>
      <c r="N207" s="15">
        <f t="shared" si="62"/>
        <v>-8.531531531531531</v>
      </c>
      <c r="O207" s="15"/>
      <c r="P207" s="15"/>
      <c r="Q207" s="15"/>
      <c r="R207" s="15"/>
      <c r="S207" s="15"/>
    </row>
    <row r="208" spans="1:19" x14ac:dyDescent="0.15">
      <c r="A208" s="15"/>
      <c r="B208" s="15"/>
      <c r="C208" s="15"/>
      <c r="D208" s="15"/>
      <c r="E208" s="15"/>
      <c r="F208" s="15"/>
      <c r="G208" s="23"/>
      <c r="H208" s="15">
        <v>10</v>
      </c>
      <c r="I208" s="15">
        <v>11</v>
      </c>
      <c r="J208" s="15">
        <f t="shared" si="64"/>
        <v>3</v>
      </c>
      <c r="K208" s="15">
        <f t="shared" si="63"/>
        <v>4</v>
      </c>
      <c r="L208" s="15">
        <v>-13.73</v>
      </c>
      <c r="M208" s="15">
        <v>1.1100000000000001</v>
      </c>
      <c r="N208" s="15">
        <f t="shared" si="62"/>
        <v>-12.369369369369368</v>
      </c>
      <c r="O208" s="15"/>
      <c r="P208" s="15"/>
      <c r="Q208" s="15"/>
      <c r="R208" s="15"/>
      <c r="S208" s="15"/>
    </row>
    <row r="209" spans="1:19" x14ac:dyDescent="0.15">
      <c r="A209" s="15"/>
      <c r="B209" s="15"/>
      <c r="C209" s="15"/>
      <c r="D209" s="15"/>
      <c r="E209" s="15"/>
      <c r="F209" s="15"/>
      <c r="G209" s="23"/>
      <c r="H209" s="15">
        <v>10</v>
      </c>
      <c r="I209" s="15">
        <v>11</v>
      </c>
      <c r="J209" s="15">
        <f t="shared" si="64"/>
        <v>4</v>
      </c>
      <c r="K209" s="15">
        <f t="shared" si="63"/>
        <v>5</v>
      </c>
      <c r="L209" s="15">
        <v>-18.100000000000001</v>
      </c>
      <c r="M209" s="15">
        <v>1.0900000000000001</v>
      </c>
      <c r="N209" s="15">
        <f t="shared" si="62"/>
        <v>-16.605504587155963</v>
      </c>
      <c r="O209" s="15"/>
      <c r="P209" s="15"/>
      <c r="Q209" s="15"/>
      <c r="R209" s="15"/>
      <c r="S209" s="15"/>
    </row>
    <row r="210" spans="1:19" x14ac:dyDescent="0.15">
      <c r="A210" s="15"/>
      <c r="B210" s="15"/>
      <c r="C210" s="15"/>
      <c r="D210" s="15"/>
      <c r="E210" s="15"/>
      <c r="F210" s="15"/>
      <c r="G210" s="23"/>
      <c r="H210" s="15">
        <v>10</v>
      </c>
      <c r="I210" s="15">
        <v>11</v>
      </c>
      <c r="J210" s="15">
        <f t="shared" si="64"/>
        <v>5</v>
      </c>
      <c r="K210" s="15">
        <f t="shared" si="63"/>
        <v>6</v>
      </c>
      <c r="L210" s="15">
        <v>-26.83</v>
      </c>
      <c r="M210" s="15">
        <v>1.0900000000000001</v>
      </c>
      <c r="N210" s="15">
        <f t="shared" si="62"/>
        <v>-24.614678899082566</v>
      </c>
      <c r="O210" s="15"/>
      <c r="P210" s="15"/>
      <c r="Q210" s="15"/>
      <c r="R210" s="15"/>
      <c r="S210" s="15"/>
    </row>
    <row r="211" spans="1:19" x14ac:dyDescent="0.15">
      <c r="A211" s="15"/>
      <c r="B211" s="15"/>
      <c r="C211" s="15"/>
      <c r="D211" s="15"/>
      <c r="E211" s="15"/>
      <c r="F211" s="15"/>
      <c r="G211" s="23"/>
      <c r="H211" s="15">
        <v>10</v>
      </c>
      <c r="I211" s="15">
        <v>11</v>
      </c>
      <c r="J211" s="15">
        <f t="shared" si="64"/>
        <v>6</v>
      </c>
      <c r="K211" s="15">
        <f t="shared" si="63"/>
        <v>7</v>
      </c>
      <c r="L211" s="15">
        <v>-50.59</v>
      </c>
      <c r="M211" s="15">
        <v>1.0900000000000001</v>
      </c>
      <c r="N211" s="15">
        <f t="shared" si="62"/>
        <v>-46.412844036697244</v>
      </c>
      <c r="O211" s="15"/>
      <c r="P211" s="15"/>
      <c r="Q211" s="15"/>
      <c r="R211" s="15"/>
      <c r="S211" s="15"/>
    </row>
    <row r="212" spans="1:19" x14ac:dyDescent="0.15">
      <c r="A212" s="15"/>
      <c r="B212" s="15"/>
      <c r="C212" s="15"/>
      <c r="D212" s="15"/>
      <c r="E212" s="15"/>
      <c r="F212" s="15"/>
      <c r="G212" s="23"/>
      <c r="H212" s="15">
        <v>10</v>
      </c>
      <c r="I212" s="15">
        <v>11</v>
      </c>
      <c r="J212" s="15">
        <f t="shared" si="64"/>
        <v>7</v>
      </c>
      <c r="K212" s="15">
        <f t="shared" si="63"/>
        <v>8</v>
      </c>
      <c r="L212" s="15">
        <v>-119.42</v>
      </c>
      <c r="M212" s="15">
        <v>1.1100000000000001</v>
      </c>
      <c r="N212" s="15">
        <f t="shared" si="62"/>
        <v>-107.58558558558558</v>
      </c>
      <c r="O212" s="15"/>
      <c r="P212" s="15"/>
      <c r="Q212" s="15"/>
      <c r="R212" s="15"/>
      <c r="S212" s="15"/>
    </row>
    <row r="213" spans="1:19" x14ac:dyDescent="0.15">
      <c r="A213" s="15"/>
      <c r="B213" s="15"/>
      <c r="C213" s="15"/>
      <c r="D213" s="15"/>
      <c r="E213" s="15"/>
      <c r="F213" s="15"/>
      <c r="G213" s="23"/>
      <c r="H213" s="15">
        <v>10</v>
      </c>
      <c r="I213" s="15">
        <v>11</v>
      </c>
      <c r="J213" s="15">
        <f t="shared" si="64"/>
        <v>8</v>
      </c>
      <c r="K213" s="15">
        <f t="shared" si="63"/>
        <v>9</v>
      </c>
      <c r="L213" s="15">
        <f>-437.43</f>
        <v>-437.43</v>
      </c>
      <c r="M213" s="15">
        <v>1.1200000000000001</v>
      </c>
      <c r="N213" s="15">
        <f t="shared" si="62"/>
        <v>-390.56249999999994</v>
      </c>
      <c r="O213" s="22"/>
      <c r="P213" s="22"/>
      <c r="Q213" s="22"/>
      <c r="R213" s="15"/>
      <c r="S213" s="15"/>
    </row>
    <row r="214" spans="1:19" x14ac:dyDescent="0.15">
      <c r="A214" s="22"/>
      <c r="B214" s="22"/>
      <c r="C214" s="22"/>
      <c r="D214" s="22"/>
      <c r="E214" s="22"/>
      <c r="F214" s="22"/>
      <c r="G214" s="23"/>
      <c r="H214" s="15">
        <v>11</v>
      </c>
      <c r="I214" s="15">
        <v>12</v>
      </c>
      <c r="J214" s="15">
        <f>I214+1</f>
        <v>13</v>
      </c>
      <c r="K214" s="15">
        <f>J214+1</f>
        <v>14</v>
      </c>
      <c r="L214" s="15">
        <v>-533.23</v>
      </c>
      <c r="M214" s="15">
        <v>1.29</v>
      </c>
      <c r="N214" s="15">
        <f t="shared" si="62"/>
        <v>-413.3565891472868</v>
      </c>
      <c r="O214" s="22"/>
      <c r="P214" s="22"/>
      <c r="Q214" s="22"/>
      <c r="R214" s="15"/>
      <c r="S214" s="15"/>
    </row>
    <row r="215" spans="1:19" x14ac:dyDescent="0.15">
      <c r="A215" s="22"/>
      <c r="B215" s="22"/>
      <c r="C215" s="22"/>
      <c r="D215" s="22"/>
      <c r="E215" s="22"/>
      <c r="F215" s="22"/>
      <c r="G215" s="23"/>
      <c r="H215" s="15">
        <v>11</v>
      </c>
      <c r="I215" s="15">
        <v>12</v>
      </c>
      <c r="J215" s="15">
        <f t="shared" ref="J215:J224" si="65">J214+1</f>
        <v>14</v>
      </c>
      <c r="K215" s="15">
        <f t="shared" ref="K215:K224" si="66">K214+1</f>
        <v>15</v>
      </c>
      <c r="L215" s="15">
        <v>-133.26</v>
      </c>
      <c r="M215" s="15">
        <v>1.31</v>
      </c>
      <c r="N215" s="15">
        <f t="shared" si="62"/>
        <v>-101.72519083969465</v>
      </c>
      <c r="O215" s="22"/>
      <c r="P215" s="22"/>
      <c r="Q215" s="22"/>
      <c r="R215" s="15"/>
      <c r="S215" s="15"/>
    </row>
    <row r="216" spans="1:19" x14ac:dyDescent="0.15">
      <c r="A216" s="22"/>
      <c r="B216" s="22"/>
      <c r="C216" s="22"/>
      <c r="D216" s="22"/>
      <c r="E216" s="22"/>
      <c r="F216" s="22"/>
      <c r="G216" s="23"/>
      <c r="H216" s="15">
        <v>11</v>
      </c>
      <c r="I216" s="15">
        <v>12</v>
      </c>
      <c r="J216" s="15">
        <f t="shared" si="65"/>
        <v>15</v>
      </c>
      <c r="K216" s="15">
        <f t="shared" si="66"/>
        <v>16</v>
      </c>
      <c r="L216" s="15">
        <v>-62.22</v>
      </c>
      <c r="M216" s="15">
        <v>1.3</v>
      </c>
      <c r="N216" s="15">
        <f t="shared" si="62"/>
        <v>-47.861538461538458</v>
      </c>
      <c r="O216" s="22"/>
      <c r="P216" s="22"/>
      <c r="Q216" s="22"/>
      <c r="R216" s="15"/>
      <c r="S216" s="15"/>
    </row>
    <row r="217" spans="1:19" x14ac:dyDescent="0.15">
      <c r="A217" s="22"/>
      <c r="B217" s="22"/>
      <c r="C217" s="22"/>
      <c r="D217" s="22"/>
      <c r="E217" s="22"/>
      <c r="F217" s="22"/>
      <c r="G217" s="23"/>
      <c r="H217" s="15">
        <v>11</v>
      </c>
      <c r="I217" s="15">
        <v>12</v>
      </c>
      <c r="J217" s="15">
        <f t="shared" si="65"/>
        <v>16</v>
      </c>
      <c r="K217" s="15">
        <f t="shared" si="66"/>
        <v>17</v>
      </c>
      <c r="L217" s="15">
        <v>-32.17</v>
      </c>
      <c r="M217" s="15">
        <v>1.27</v>
      </c>
      <c r="N217" s="15">
        <f t="shared" si="62"/>
        <v>-25.330708661417322</v>
      </c>
      <c r="O217" s="22"/>
      <c r="P217" s="22"/>
      <c r="Q217" s="22"/>
      <c r="R217" s="15"/>
      <c r="S217" s="15"/>
    </row>
    <row r="218" spans="1:19" x14ac:dyDescent="0.15">
      <c r="A218" s="22"/>
      <c r="B218" s="22"/>
      <c r="C218" s="22"/>
      <c r="D218" s="22"/>
      <c r="E218" s="22"/>
      <c r="F218" s="22"/>
      <c r="G218" s="23"/>
      <c r="H218" s="15">
        <v>11</v>
      </c>
      <c r="I218" s="15">
        <v>12</v>
      </c>
      <c r="J218" s="15">
        <f t="shared" si="65"/>
        <v>17</v>
      </c>
      <c r="K218" s="15">
        <f t="shared" si="66"/>
        <v>18</v>
      </c>
      <c r="L218" s="15">
        <v>-18.27</v>
      </c>
      <c r="M218" s="15">
        <v>1.27</v>
      </c>
      <c r="N218" s="15">
        <f t="shared" si="62"/>
        <v>-14.385826771653543</v>
      </c>
      <c r="O218" s="22"/>
      <c r="P218" s="22"/>
      <c r="Q218" s="22"/>
      <c r="R218" s="22"/>
      <c r="S218" s="22"/>
    </row>
    <row r="219" spans="1:19" x14ac:dyDescent="0.15">
      <c r="A219" s="22"/>
      <c r="B219" s="22"/>
      <c r="C219" s="22"/>
      <c r="D219" s="22"/>
      <c r="E219" s="22"/>
      <c r="F219" s="22"/>
      <c r="G219" s="23"/>
      <c r="H219" s="15">
        <v>11</v>
      </c>
      <c r="I219" s="15">
        <v>12</v>
      </c>
      <c r="J219" s="15">
        <f t="shared" si="65"/>
        <v>18</v>
      </c>
      <c r="K219" s="15">
        <f t="shared" si="66"/>
        <v>19</v>
      </c>
      <c r="L219" s="15">
        <v>-13.97</v>
      </c>
      <c r="M219" s="15">
        <v>1.26</v>
      </c>
      <c r="N219" s="15">
        <f t="shared" si="62"/>
        <v>-11.087301587301587</v>
      </c>
      <c r="O219" s="22"/>
      <c r="P219" s="22"/>
      <c r="Q219" s="22"/>
      <c r="R219" s="22"/>
      <c r="S219" s="22"/>
    </row>
    <row r="220" spans="1:19" x14ac:dyDescent="0.15">
      <c r="A220" s="22"/>
      <c r="B220" s="22"/>
      <c r="C220" s="22"/>
      <c r="D220" s="22"/>
      <c r="E220" s="22"/>
      <c r="F220" s="22"/>
      <c r="G220" s="23"/>
      <c r="H220" s="15">
        <v>11</v>
      </c>
      <c r="I220" s="15">
        <v>12</v>
      </c>
      <c r="J220" s="15">
        <f t="shared" si="65"/>
        <v>19</v>
      </c>
      <c r="K220" s="15">
        <f t="shared" si="66"/>
        <v>20</v>
      </c>
      <c r="L220" s="15">
        <v>-10.53</v>
      </c>
      <c r="M220" s="15">
        <v>1.28</v>
      </c>
      <c r="N220" s="15">
        <f t="shared" si="62"/>
        <v>-8.2265625</v>
      </c>
      <c r="O220" s="22"/>
      <c r="P220" s="22"/>
      <c r="Q220" s="22"/>
      <c r="R220" s="22"/>
      <c r="S220" s="22"/>
    </row>
    <row r="221" spans="1:19" x14ac:dyDescent="0.15">
      <c r="A221" s="22"/>
      <c r="B221" s="22"/>
      <c r="C221" s="22"/>
      <c r="D221" s="22"/>
      <c r="E221" s="22"/>
      <c r="F221" s="22"/>
      <c r="G221" s="23"/>
      <c r="H221" s="15">
        <v>11</v>
      </c>
      <c r="I221" s="15">
        <v>12</v>
      </c>
      <c r="J221" s="15">
        <f t="shared" si="65"/>
        <v>20</v>
      </c>
      <c r="K221" s="15">
        <f t="shared" si="66"/>
        <v>21</v>
      </c>
      <c r="L221" s="15">
        <v>-9.6300000000000008</v>
      </c>
      <c r="M221" s="15">
        <v>1.27</v>
      </c>
      <c r="N221" s="15">
        <f t="shared" si="62"/>
        <v>-7.5826771653543314</v>
      </c>
      <c r="O221" s="22"/>
      <c r="P221" s="22"/>
      <c r="Q221" s="22"/>
      <c r="R221" s="22"/>
      <c r="S221" s="22"/>
    </row>
    <row r="222" spans="1:19" x14ac:dyDescent="0.15">
      <c r="A222" s="22"/>
      <c r="B222" s="22"/>
      <c r="C222" s="22"/>
      <c r="D222" s="22"/>
      <c r="E222" s="22"/>
      <c r="F222" s="22"/>
      <c r="G222" s="23"/>
      <c r="H222" s="15">
        <v>11</v>
      </c>
      <c r="I222" s="15">
        <v>12</v>
      </c>
      <c r="J222" s="15">
        <f t="shared" si="65"/>
        <v>21</v>
      </c>
      <c r="K222" s="15">
        <f t="shared" si="66"/>
        <v>22</v>
      </c>
      <c r="L222" s="15">
        <v>-7.04</v>
      </c>
      <c r="M222" s="15">
        <v>1.27</v>
      </c>
      <c r="N222" s="15">
        <f t="shared" si="62"/>
        <v>-5.5433070866141732</v>
      </c>
      <c r="O222" s="22"/>
      <c r="P222" s="22"/>
      <c r="Q222" s="22"/>
      <c r="R222" s="22"/>
      <c r="S222" s="22"/>
    </row>
    <row r="223" spans="1:19" x14ac:dyDescent="0.15">
      <c r="A223" s="22"/>
      <c r="B223" s="22"/>
      <c r="C223" s="22"/>
      <c r="D223" s="22"/>
      <c r="E223" s="22"/>
      <c r="F223" s="22"/>
      <c r="G223" s="23"/>
      <c r="H223" s="15">
        <v>11</v>
      </c>
      <c r="I223" s="15">
        <v>12</v>
      </c>
      <c r="J223" s="15">
        <f t="shared" si="65"/>
        <v>22</v>
      </c>
      <c r="K223" s="15">
        <f t="shared" si="66"/>
        <v>23</v>
      </c>
      <c r="L223" s="15">
        <v>-6.66</v>
      </c>
      <c r="M223" s="15">
        <v>1.3</v>
      </c>
      <c r="N223" s="15">
        <f t="shared" si="62"/>
        <v>-5.1230769230769226</v>
      </c>
      <c r="O223" s="22"/>
      <c r="P223" s="22"/>
      <c r="Q223" s="22"/>
      <c r="R223" s="22"/>
      <c r="S223" s="22"/>
    </row>
    <row r="224" spans="1:19" x14ac:dyDescent="0.15">
      <c r="A224" s="22"/>
      <c r="B224" s="22"/>
      <c r="C224" s="22"/>
      <c r="D224" s="22"/>
      <c r="E224" s="22"/>
      <c r="F224" s="22"/>
      <c r="G224" s="23"/>
      <c r="H224" s="15">
        <v>11</v>
      </c>
      <c r="I224" s="15">
        <v>12</v>
      </c>
      <c r="J224" s="15">
        <f t="shared" si="65"/>
        <v>23</v>
      </c>
      <c r="K224" s="15">
        <f t="shared" si="66"/>
        <v>24</v>
      </c>
      <c r="L224" s="15">
        <v>-6.35</v>
      </c>
      <c r="M224" s="15">
        <v>1.3</v>
      </c>
      <c r="N224" s="15">
        <f t="shared" si="62"/>
        <v>-4.8846153846153841</v>
      </c>
      <c r="O224" s="22"/>
      <c r="P224" s="22"/>
      <c r="Q224" s="22"/>
      <c r="R224" s="22"/>
      <c r="S224" s="22"/>
    </row>
    <row r="225" spans="1:19" x14ac:dyDescent="0.15">
      <c r="A225" s="22"/>
      <c r="B225" s="22"/>
      <c r="C225" s="22"/>
      <c r="D225" s="22"/>
      <c r="E225" s="22"/>
      <c r="F225" s="22"/>
      <c r="G225" s="23"/>
      <c r="H225" s="15">
        <v>11</v>
      </c>
      <c r="I225" s="15">
        <v>12</v>
      </c>
      <c r="J225" s="15">
        <f>J224+1</f>
        <v>24</v>
      </c>
      <c r="K225" s="15">
        <v>1</v>
      </c>
      <c r="L225" s="15">
        <v>-6.16</v>
      </c>
      <c r="M225" s="15">
        <v>1.3</v>
      </c>
      <c r="N225" s="15">
        <f t="shared" si="62"/>
        <v>-4.7384615384615385</v>
      </c>
      <c r="O225" s="22"/>
      <c r="P225" s="22"/>
      <c r="Q225" s="22"/>
      <c r="R225" s="22"/>
      <c r="S225" s="22"/>
    </row>
    <row r="226" spans="1:19" x14ac:dyDescent="0.15">
      <c r="A226" s="22"/>
      <c r="B226" s="22"/>
      <c r="C226" s="22"/>
      <c r="D226" s="22"/>
      <c r="E226" s="22"/>
      <c r="F226" s="22"/>
      <c r="G226" s="23"/>
      <c r="H226" s="15">
        <v>11</v>
      </c>
      <c r="I226" s="15">
        <v>12</v>
      </c>
      <c r="J226" s="15">
        <v>1</v>
      </c>
      <c r="K226" s="15">
        <f t="shared" ref="K226:K234" si="67">K225+1</f>
        <v>2</v>
      </c>
      <c r="L226" s="15">
        <v>-8.3699999999999992</v>
      </c>
      <c r="M226" s="15">
        <v>1.3</v>
      </c>
      <c r="N226" s="15">
        <f t="shared" si="62"/>
        <v>-6.4384615384615378</v>
      </c>
      <c r="O226" s="22"/>
      <c r="P226" s="22"/>
      <c r="Q226" s="22"/>
      <c r="R226" s="22"/>
      <c r="S226" s="22"/>
    </row>
    <row r="227" spans="1:19" x14ac:dyDescent="0.15">
      <c r="A227" s="22"/>
      <c r="B227" s="22"/>
      <c r="C227" s="22"/>
      <c r="D227" s="22"/>
      <c r="E227" s="22"/>
      <c r="F227" s="22"/>
      <c r="G227" s="23"/>
      <c r="H227" s="15">
        <v>11</v>
      </c>
      <c r="I227" s="15">
        <v>12</v>
      </c>
      <c r="J227" s="15">
        <f t="shared" ref="J227:J234" si="68">J226+1</f>
        <v>2</v>
      </c>
      <c r="K227" s="15">
        <f t="shared" si="67"/>
        <v>3</v>
      </c>
      <c r="L227" s="15">
        <v>-7.89</v>
      </c>
      <c r="M227" s="15">
        <v>1.3</v>
      </c>
      <c r="N227" s="15">
        <f t="shared" si="62"/>
        <v>-6.069230769230769</v>
      </c>
      <c r="O227" s="22"/>
      <c r="P227" s="22"/>
      <c r="Q227" s="22"/>
      <c r="R227" s="22"/>
      <c r="S227" s="22"/>
    </row>
    <row r="228" spans="1:19" x14ac:dyDescent="0.15">
      <c r="A228" s="22"/>
      <c r="B228" s="22"/>
      <c r="C228" s="22"/>
      <c r="D228" s="22"/>
      <c r="E228" s="22"/>
      <c r="F228" s="22"/>
      <c r="G228" s="23"/>
      <c r="H228" s="15">
        <v>11</v>
      </c>
      <c r="I228" s="15">
        <v>12</v>
      </c>
      <c r="J228" s="15">
        <f t="shared" si="68"/>
        <v>3</v>
      </c>
      <c r="K228" s="15">
        <f t="shared" si="67"/>
        <v>4</v>
      </c>
      <c r="L228" s="15">
        <v>-10.82</v>
      </c>
      <c r="M228" s="15">
        <v>1.28</v>
      </c>
      <c r="N228" s="15">
        <f t="shared" si="62"/>
        <v>-8.453125</v>
      </c>
      <c r="O228" s="22"/>
      <c r="P228" s="22"/>
      <c r="Q228" s="22"/>
      <c r="R228" s="22"/>
      <c r="S228" s="22"/>
    </row>
    <row r="229" spans="1:19" x14ac:dyDescent="0.15">
      <c r="A229" s="22"/>
      <c r="B229" s="22"/>
      <c r="C229" s="22"/>
      <c r="D229" s="22"/>
      <c r="E229" s="22"/>
      <c r="F229" s="22"/>
      <c r="G229" s="23"/>
      <c r="H229" s="15">
        <v>11</v>
      </c>
      <c r="I229" s="15">
        <v>12</v>
      </c>
      <c r="J229" s="15">
        <f t="shared" si="68"/>
        <v>4</v>
      </c>
      <c r="K229" s="15">
        <f t="shared" si="67"/>
        <v>5</v>
      </c>
      <c r="L229" s="15">
        <v>-13.74</v>
      </c>
      <c r="M229" s="15">
        <v>1.3</v>
      </c>
      <c r="N229" s="15">
        <f t="shared" si="62"/>
        <v>-10.569230769230769</v>
      </c>
      <c r="O229" s="22"/>
      <c r="P229" s="22"/>
      <c r="Q229" s="22"/>
      <c r="R229" s="22"/>
      <c r="S229" s="22"/>
    </row>
    <row r="230" spans="1:19" x14ac:dyDescent="0.15">
      <c r="A230" s="22"/>
      <c r="B230" s="22"/>
      <c r="C230" s="22"/>
      <c r="D230" s="22"/>
      <c r="E230" s="22"/>
      <c r="F230" s="22"/>
      <c r="G230" s="23"/>
      <c r="H230" s="15">
        <v>11</v>
      </c>
      <c r="I230" s="15">
        <v>12</v>
      </c>
      <c r="J230" s="15">
        <f t="shared" si="68"/>
        <v>5</v>
      </c>
      <c r="K230" s="15">
        <f t="shared" si="67"/>
        <v>6</v>
      </c>
      <c r="L230" s="15">
        <v>-18.8</v>
      </c>
      <c r="M230" s="15">
        <v>1.29</v>
      </c>
      <c r="N230" s="15">
        <f t="shared" si="62"/>
        <v>-14.573643410852714</v>
      </c>
      <c r="O230" s="22"/>
      <c r="P230" s="22"/>
      <c r="Q230" s="22"/>
      <c r="R230" s="22"/>
      <c r="S230" s="22"/>
    </row>
    <row r="231" spans="1:19" x14ac:dyDescent="0.15">
      <c r="A231" s="22"/>
      <c r="B231" s="22"/>
      <c r="C231" s="22"/>
      <c r="D231" s="22"/>
      <c r="E231" s="22"/>
      <c r="F231" s="22"/>
      <c r="G231" s="23"/>
      <c r="H231" s="15">
        <v>11</v>
      </c>
      <c r="I231" s="15">
        <v>12</v>
      </c>
      <c r="J231" s="15">
        <f t="shared" si="68"/>
        <v>6</v>
      </c>
      <c r="K231" s="15">
        <f t="shared" si="67"/>
        <v>7</v>
      </c>
      <c r="L231" s="15">
        <v>-33</v>
      </c>
      <c r="M231" s="15">
        <v>1.3</v>
      </c>
      <c r="N231" s="15">
        <f t="shared" si="62"/>
        <v>-25.384615384615383</v>
      </c>
      <c r="O231" s="22"/>
      <c r="P231" s="22"/>
      <c r="Q231" s="22"/>
      <c r="R231" s="22"/>
      <c r="S231" s="22"/>
    </row>
    <row r="232" spans="1:19" x14ac:dyDescent="0.15">
      <c r="A232" s="22"/>
      <c r="B232" s="22"/>
      <c r="C232" s="22"/>
      <c r="D232" s="22"/>
      <c r="E232" s="22"/>
      <c r="F232" s="22"/>
      <c r="G232" s="23"/>
      <c r="H232" s="15">
        <v>11</v>
      </c>
      <c r="I232" s="15">
        <v>12</v>
      </c>
      <c r="J232" s="15">
        <f t="shared" si="68"/>
        <v>7</v>
      </c>
      <c r="K232" s="15">
        <f t="shared" si="67"/>
        <v>8</v>
      </c>
      <c r="L232" s="15">
        <v>-60.31</v>
      </c>
      <c r="M232" s="15">
        <v>1.32</v>
      </c>
      <c r="N232" s="15">
        <f t="shared" si="62"/>
        <v>-45.689393939393938</v>
      </c>
      <c r="O232" s="22"/>
      <c r="P232" s="22"/>
      <c r="Q232" s="22"/>
      <c r="R232" s="22"/>
      <c r="S232" s="22"/>
    </row>
    <row r="233" spans="1:19" x14ac:dyDescent="0.15">
      <c r="A233" s="22"/>
      <c r="B233" s="22"/>
      <c r="C233" s="22"/>
      <c r="D233" s="22"/>
      <c r="E233" s="22"/>
      <c r="F233" s="22"/>
      <c r="G233" s="23"/>
      <c r="H233" s="15">
        <v>11</v>
      </c>
      <c r="I233" s="15">
        <v>12</v>
      </c>
      <c r="J233" s="15">
        <f t="shared" si="68"/>
        <v>8</v>
      </c>
      <c r="K233" s="15">
        <f t="shared" si="67"/>
        <v>9</v>
      </c>
      <c r="L233" s="15">
        <v>-137.4</v>
      </c>
      <c r="M233" s="15">
        <v>1.29</v>
      </c>
      <c r="N233" s="15">
        <f t="shared" si="62"/>
        <v>-106.51162790697674</v>
      </c>
      <c r="O233" s="22"/>
      <c r="P233" s="22"/>
      <c r="Q233" s="22"/>
      <c r="R233" s="22"/>
      <c r="S233" s="22"/>
    </row>
    <row r="234" spans="1:19" x14ac:dyDescent="0.15">
      <c r="A234" s="22"/>
      <c r="B234" s="22"/>
      <c r="C234" s="22"/>
      <c r="D234" s="22"/>
      <c r="E234" s="22"/>
      <c r="F234" s="22"/>
      <c r="G234" s="23"/>
      <c r="H234" s="15">
        <v>11</v>
      </c>
      <c r="I234" s="15">
        <v>12</v>
      </c>
      <c r="J234" s="15">
        <f t="shared" si="68"/>
        <v>9</v>
      </c>
      <c r="K234" s="15">
        <f t="shared" si="67"/>
        <v>10</v>
      </c>
      <c r="L234" s="15">
        <v>-555.23</v>
      </c>
      <c r="M234" s="15">
        <v>1.3</v>
      </c>
      <c r="N234" s="15">
        <f t="shared" si="62"/>
        <v>-427.1</v>
      </c>
      <c r="O234" s="22"/>
      <c r="P234" s="22"/>
      <c r="Q234" s="22"/>
      <c r="R234" s="22"/>
      <c r="S234" s="22"/>
    </row>
    <row r="235" spans="1:19" x14ac:dyDescent="0.15">
      <c r="A235" s="22"/>
      <c r="B235" s="22"/>
      <c r="C235" s="22"/>
      <c r="D235" s="22"/>
      <c r="E235" s="22"/>
      <c r="F235" s="22"/>
      <c r="G235" s="23"/>
      <c r="H235" s="15">
        <v>12</v>
      </c>
      <c r="I235" s="15">
        <v>13</v>
      </c>
      <c r="J235" s="15">
        <f>I235+1</f>
        <v>14</v>
      </c>
      <c r="K235" s="15">
        <f>J235+1</f>
        <v>15</v>
      </c>
      <c r="L235" s="15">
        <v>-594.04</v>
      </c>
      <c r="M235" s="15">
        <v>1.56</v>
      </c>
      <c r="N235" s="15">
        <f t="shared" si="62"/>
        <v>-380.79487179487177</v>
      </c>
      <c r="O235" s="22"/>
      <c r="P235" s="22"/>
      <c r="Q235" s="22"/>
      <c r="R235" s="22"/>
      <c r="S235" s="22"/>
    </row>
    <row r="236" spans="1:19" x14ac:dyDescent="0.15">
      <c r="A236" s="22"/>
      <c r="B236" s="22"/>
      <c r="C236" s="22"/>
      <c r="D236" s="22"/>
      <c r="E236" s="22"/>
      <c r="F236" s="22"/>
      <c r="G236" s="23"/>
      <c r="H236" s="15">
        <v>12</v>
      </c>
      <c r="I236" s="15">
        <v>13</v>
      </c>
      <c r="J236" s="15">
        <f t="shared" ref="J236:J244" si="69">J235+1</f>
        <v>15</v>
      </c>
      <c r="K236" s="15">
        <f t="shared" ref="K236:K244" si="70">K235+1</f>
        <v>16</v>
      </c>
      <c r="L236" s="15">
        <v>-178.51</v>
      </c>
      <c r="M236" s="15">
        <v>1.57</v>
      </c>
      <c r="N236" s="15">
        <f t="shared" si="62"/>
        <v>-113.70063694267515</v>
      </c>
      <c r="O236" s="22"/>
      <c r="P236" s="22"/>
      <c r="Q236" s="22"/>
      <c r="R236" s="22"/>
      <c r="S236" s="22"/>
    </row>
    <row r="237" spans="1:19" x14ac:dyDescent="0.15">
      <c r="A237" s="22"/>
      <c r="B237" s="22"/>
      <c r="C237" s="22"/>
      <c r="D237" s="22"/>
      <c r="E237" s="22"/>
      <c r="F237" s="22"/>
      <c r="G237" s="23"/>
      <c r="H237" s="15">
        <v>12</v>
      </c>
      <c r="I237" s="15">
        <v>13</v>
      </c>
      <c r="J237" s="15">
        <f t="shared" si="69"/>
        <v>16</v>
      </c>
      <c r="K237" s="15">
        <f t="shared" si="70"/>
        <v>17</v>
      </c>
      <c r="L237" s="15">
        <v>-76.459999999999994</v>
      </c>
      <c r="M237" s="15">
        <v>1.6</v>
      </c>
      <c r="N237" s="15">
        <f t="shared" si="62"/>
        <v>-47.787499999999994</v>
      </c>
      <c r="O237" s="22"/>
      <c r="P237" s="22"/>
      <c r="Q237" s="22"/>
      <c r="R237" s="22"/>
      <c r="S237" s="22"/>
    </row>
    <row r="238" spans="1:19" x14ac:dyDescent="0.15">
      <c r="A238" s="22"/>
      <c r="B238" s="22"/>
      <c r="C238" s="22"/>
      <c r="D238" s="22"/>
      <c r="E238" s="22"/>
      <c r="F238" s="22"/>
      <c r="G238" s="23"/>
      <c r="H238" s="15">
        <v>12</v>
      </c>
      <c r="I238" s="15">
        <v>13</v>
      </c>
      <c r="J238" s="15">
        <f t="shared" si="69"/>
        <v>17</v>
      </c>
      <c r="K238" s="15">
        <f t="shared" si="70"/>
        <v>18</v>
      </c>
      <c r="L238" s="15">
        <v>-37.159999999999997</v>
      </c>
      <c r="M238" s="15">
        <v>1.58</v>
      </c>
      <c r="N238" s="15">
        <f t="shared" si="62"/>
        <v>-23.518987341772149</v>
      </c>
      <c r="O238" s="22"/>
      <c r="P238" s="22"/>
      <c r="Q238" s="22"/>
      <c r="R238" s="22"/>
      <c r="S238" s="22"/>
    </row>
    <row r="239" spans="1:19" x14ac:dyDescent="0.15">
      <c r="A239" s="22"/>
      <c r="B239" s="22"/>
      <c r="C239" s="22"/>
      <c r="D239" s="22"/>
      <c r="E239" s="22"/>
      <c r="F239" s="22"/>
      <c r="G239" s="23"/>
      <c r="H239" s="15">
        <v>12</v>
      </c>
      <c r="I239" s="15">
        <v>13</v>
      </c>
      <c r="J239" s="15">
        <f t="shared" si="69"/>
        <v>18</v>
      </c>
      <c r="K239" s="15">
        <f t="shared" si="70"/>
        <v>19</v>
      </c>
      <c r="L239" s="15">
        <v>-25.8</v>
      </c>
      <c r="M239" s="15">
        <v>1.57</v>
      </c>
      <c r="N239" s="15">
        <f t="shared" si="62"/>
        <v>-16.433121019108281</v>
      </c>
      <c r="O239" s="22"/>
      <c r="P239" s="22"/>
      <c r="Q239" s="22"/>
      <c r="R239" s="22"/>
      <c r="S239" s="22"/>
    </row>
    <row r="240" spans="1:19" x14ac:dyDescent="0.15">
      <c r="A240" s="22"/>
      <c r="B240" s="22"/>
      <c r="C240" s="22"/>
      <c r="D240" s="22"/>
      <c r="E240" s="22"/>
      <c r="F240" s="22"/>
      <c r="G240" s="23"/>
      <c r="H240" s="15">
        <v>12</v>
      </c>
      <c r="I240" s="15">
        <v>13</v>
      </c>
      <c r="J240" s="15">
        <f t="shared" si="69"/>
        <v>19</v>
      </c>
      <c r="K240" s="15">
        <f t="shared" si="70"/>
        <v>20</v>
      </c>
      <c r="L240" s="15">
        <v>-17.260000000000002</v>
      </c>
      <c r="M240" s="15">
        <v>1.57</v>
      </c>
      <c r="N240" s="15">
        <f t="shared" si="62"/>
        <v>-10.993630573248408</v>
      </c>
      <c r="O240" s="22"/>
      <c r="P240" s="22"/>
      <c r="Q240" s="22"/>
      <c r="R240" s="22"/>
      <c r="S240" s="22"/>
    </row>
    <row r="241" spans="1:19" x14ac:dyDescent="0.15">
      <c r="A241" s="22"/>
      <c r="B241" s="22"/>
      <c r="C241" s="22"/>
      <c r="D241" s="22"/>
      <c r="E241" s="22"/>
      <c r="F241" s="22"/>
      <c r="G241" s="23"/>
      <c r="H241" s="15">
        <v>12</v>
      </c>
      <c r="I241" s="15">
        <v>13</v>
      </c>
      <c r="J241" s="15">
        <f t="shared" si="69"/>
        <v>20</v>
      </c>
      <c r="K241" s="15">
        <f t="shared" si="70"/>
        <v>21</v>
      </c>
      <c r="L241" s="15">
        <v>-16.55</v>
      </c>
      <c r="M241" s="15">
        <v>1.57</v>
      </c>
      <c r="N241" s="15">
        <f t="shared" si="62"/>
        <v>-10.54140127388535</v>
      </c>
      <c r="O241" s="22"/>
      <c r="P241" s="22"/>
      <c r="Q241" s="22"/>
      <c r="R241" s="22"/>
      <c r="S241" s="22"/>
    </row>
    <row r="242" spans="1:19" x14ac:dyDescent="0.15">
      <c r="A242" s="22"/>
      <c r="B242" s="22"/>
      <c r="C242" s="22"/>
      <c r="D242" s="22"/>
      <c r="E242" s="22"/>
      <c r="F242" s="22"/>
      <c r="G242" s="23"/>
      <c r="H242" s="15">
        <v>12</v>
      </c>
      <c r="I242" s="15">
        <v>13</v>
      </c>
      <c r="J242" s="15">
        <f t="shared" si="69"/>
        <v>21</v>
      </c>
      <c r="K242" s="15">
        <f t="shared" si="70"/>
        <v>22</v>
      </c>
      <c r="L242" s="15">
        <v>-11.48</v>
      </c>
      <c r="M242" s="15">
        <v>1.53</v>
      </c>
      <c r="N242" s="15">
        <f t="shared" si="62"/>
        <v>-7.5032679738562091</v>
      </c>
      <c r="O242" s="22"/>
      <c r="P242" s="22"/>
      <c r="Q242" s="22"/>
      <c r="R242" s="22"/>
      <c r="S242" s="22"/>
    </row>
    <row r="243" spans="1:19" x14ac:dyDescent="0.15">
      <c r="A243" s="22"/>
      <c r="B243" s="22"/>
      <c r="C243" s="22"/>
      <c r="D243" s="22"/>
      <c r="E243" s="22"/>
      <c r="F243" s="22"/>
      <c r="G243" s="23"/>
      <c r="H243" s="15">
        <v>12</v>
      </c>
      <c r="I243" s="15">
        <v>13</v>
      </c>
      <c r="J243" s="15">
        <f t="shared" si="69"/>
        <v>22</v>
      </c>
      <c r="K243" s="15">
        <f t="shared" si="70"/>
        <v>23</v>
      </c>
      <c r="L243" s="15">
        <v>-9.5</v>
      </c>
      <c r="M243" s="15">
        <v>1.55</v>
      </c>
      <c r="N243" s="15">
        <f t="shared" si="62"/>
        <v>-6.129032258064516</v>
      </c>
      <c r="O243" s="22"/>
      <c r="P243" s="22"/>
      <c r="Q243" s="22"/>
      <c r="R243" s="22"/>
      <c r="S243" s="22"/>
    </row>
    <row r="244" spans="1:19" x14ac:dyDescent="0.15">
      <c r="A244" s="22"/>
      <c r="B244" s="22"/>
      <c r="C244" s="22"/>
      <c r="D244" s="22"/>
      <c r="E244" s="22"/>
      <c r="F244" s="22"/>
      <c r="G244" s="23"/>
      <c r="H244" s="15">
        <v>12</v>
      </c>
      <c r="I244" s="15">
        <v>13</v>
      </c>
      <c r="J244" s="15">
        <f t="shared" si="69"/>
        <v>23</v>
      </c>
      <c r="K244" s="15">
        <f t="shared" si="70"/>
        <v>24</v>
      </c>
      <c r="L244" s="15">
        <v>-9.58</v>
      </c>
      <c r="M244" s="15">
        <v>1.57</v>
      </c>
      <c r="N244" s="15">
        <f t="shared" si="62"/>
        <v>-6.1019108280254777</v>
      </c>
      <c r="O244" s="22"/>
      <c r="P244" s="22"/>
      <c r="Q244" s="22"/>
      <c r="R244" s="22"/>
      <c r="S244" s="22"/>
    </row>
    <row r="245" spans="1:19" x14ac:dyDescent="0.15">
      <c r="A245" s="22"/>
      <c r="B245" s="22"/>
      <c r="C245" s="22"/>
      <c r="D245" s="22"/>
      <c r="E245" s="22"/>
      <c r="F245" s="22"/>
      <c r="G245" s="23"/>
      <c r="H245" s="15">
        <v>12</v>
      </c>
      <c r="I245" s="15">
        <v>13</v>
      </c>
      <c r="J245" s="15">
        <f>J244+1</f>
        <v>24</v>
      </c>
      <c r="K245" s="15">
        <v>1</v>
      </c>
      <c r="L245" s="15">
        <v>-10.09</v>
      </c>
      <c r="M245" s="15">
        <v>1.51</v>
      </c>
      <c r="N245" s="15">
        <f t="shared" si="62"/>
        <v>-6.6821192052980134</v>
      </c>
      <c r="O245" s="22"/>
      <c r="P245" s="22"/>
      <c r="Q245" s="22"/>
      <c r="R245" s="22"/>
      <c r="S245" s="22"/>
    </row>
    <row r="246" spans="1:19" x14ac:dyDescent="0.15">
      <c r="A246" s="22"/>
      <c r="B246" s="22"/>
      <c r="C246" s="22"/>
      <c r="D246" s="22"/>
      <c r="E246" s="22"/>
      <c r="F246" s="22"/>
      <c r="G246" s="23"/>
      <c r="H246" s="15">
        <v>12</v>
      </c>
      <c r="I246" s="15">
        <v>13</v>
      </c>
      <c r="J246" s="15">
        <v>1</v>
      </c>
      <c r="K246" s="15">
        <f t="shared" ref="K246:K255" si="71">K245+1</f>
        <v>2</v>
      </c>
      <c r="L246" s="15">
        <v>-13.57</v>
      </c>
      <c r="M246" s="15">
        <v>1.49</v>
      </c>
      <c r="N246" s="15">
        <f t="shared" si="62"/>
        <v>-9.1073825503355703</v>
      </c>
      <c r="O246" s="22"/>
      <c r="P246" s="22"/>
      <c r="Q246" s="22"/>
      <c r="R246" s="22"/>
      <c r="S246" s="22"/>
    </row>
    <row r="247" spans="1:19" x14ac:dyDescent="0.15">
      <c r="A247" s="22"/>
      <c r="B247" s="22"/>
      <c r="C247" s="22"/>
      <c r="D247" s="22"/>
      <c r="E247" s="22"/>
      <c r="F247" s="22"/>
      <c r="G247" s="23"/>
      <c r="H247" s="15">
        <v>12</v>
      </c>
      <c r="I247" s="15">
        <v>13</v>
      </c>
      <c r="J247" s="15">
        <f t="shared" ref="J247:J255" si="72">J246+1</f>
        <v>2</v>
      </c>
      <c r="K247" s="15">
        <f t="shared" si="71"/>
        <v>3</v>
      </c>
      <c r="L247" s="15">
        <v>-10.7</v>
      </c>
      <c r="M247" s="15">
        <v>1.5</v>
      </c>
      <c r="N247" s="15">
        <f t="shared" si="62"/>
        <v>-7.1333333333333329</v>
      </c>
      <c r="O247" s="22"/>
      <c r="P247" s="22"/>
      <c r="Q247" s="22"/>
      <c r="R247" s="22"/>
      <c r="S247" s="22"/>
    </row>
    <row r="248" spans="1:19" x14ac:dyDescent="0.15">
      <c r="A248" s="22"/>
      <c r="B248" s="22"/>
      <c r="C248" s="22"/>
      <c r="D248" s="22"/>
      <c r="E248" s="22"/>
      <c r="F248" s="22"/>
      <c r="G248" s="23"/>
      <c r="H248" s="15">
        <v>12</v>
      </c>
      <c r="I248" s="15">
        <v>13</v>
      </c>
      <c r="J248" s="15">
        <f t="shared" si="72"/>
        <v>3</v>
      </c>
      <c r="K248" s="15">
        <f t="shared" si="71"/>
        <v>4</v>
      </c>
      <c r="L248" s="15">
        <v>-14.53</v>
      </c>
      <c r="M248" s="15">
        <v>1.55</v>
      </c>
      <c r="N248" s="15">
        <f t="shared" si="62"/>
        <v>-9.3741935483870957</v>
      </c>
      <c r="O248" s="22"/>
      <c r="P248" s="22"/>
      <c r="Q248" s="22"/>
      <c r="R248" s="22"/>
      <c r="S248" s="22"/>
    </row>
    <row r="249" spans="1:19" x14ac:dyDescent="0.15">
      <c r="A249" s="22"/>
      <c r="B249" s="22"/>
      <c r="C249" s="22"/>
      <c r="D249" s="22"/>
      <c r="E249" s="22"/>
      <c r="F249" s="22"/>
      <c r="G249" s="23"/>
      <c r="H249" s="15">
        <v>12</v>
      </c>
      <c r="I249" s="15">
        <v>13</v>
      </c>
      <c r="J249" s="15">
        <f t="shared" si="72"/>
        <v>4</v>
      </c>
      <c r="K249" s="15">
        <f t="shared" si="71"/>
        <v>5</v>
      </c>
      <c r="L249" s="15">
        <v>-14.19</v>
      </c>
      <c r="M249" s="15">
        <v>1.55</v>
      </c>
      <c r="N249" s="15">
        <f t="shared" si="62"/>
        <v>-9.1548387096774189</v>
      </c>
      <c r="O249" s="22"/>
      <c r="P249" s="22"/>
      <c r="Q249" s="22"/>
      <c r="R249" s="22"/>
      <c r="S249" s="22"/>
    </row>
    <row r="250" spans="1:19" x14ac:dyDescent="0.15">
      <c r="A250" s="22"/>
      <c r="B250" s="22"/>
      <c r="C250" s="22"/>
      <c r="D250" s="22"/>
      <c r="E250" s="22"/>
      <c r="F250" s="22"/>
      <c r="G250" s="23"/>
      <c r="H250" s="15">
        <v>12</v>
      </c>
      <c r="I250" s="15">
        <v>13</v>
      </c>
      <c r="J250" s="15">
        <f t="shared" si="72"/>
        <v>5</v>
      </c>
      <c r="K250" s="15">
        <f t="shared" si="71"/>
        <v>6</v>
      </c>
      <c r="L250" s="15">
        <v>-17.36</v>
      </c>
      <c r="M250" s="15">
        <v>1.52</v>
      </c>
      <c r="N250" s="15">
        <f t="shared" si="62"/>
        <v>-11.421052631578947</v>
      </c>
      <c r="O250" s="22"/>
      <c r="P250" s="22"/>
      <c r="Q250" s="22"/>
      <c r="R250" s="22"/>
      <c r="S250" s="22"/>
    </row>
    <row r="251" spans="1:19" x14ac:dyDescent="0.15">
      <c r="A251" s="22"/>
      <c r="B251" s="22"/>
      <c r="C251" s="22"/>
      <c r="D251" s="22"/>
      <c r="E251" s="22"/>
      <c r="F251" s="22"/>
      <c r="G251" s="23"/>
      <c r="H251" s="15">
        <v>12</v>
      </c>
      <c r="I251" s="15">
        <v>13</v>
      </c>
      <c r="J251" s="15">
        <f t="shared" si="72"/>
        <v>6</v>
      </c>
      <c r="K251" s="15">
        <f t="shared" si="71"/>
        <v>7</v>
      </c>
      <c r="L251" s="15">
        <v>-25.71</v>
      </c>
      <c r="M251" s="15">
        <v>1.53</v>
      </c>
      <c r="N251" s="15">
        <f t="shared" si="62"/>
        <v>-16.803921568627452</v>
      </c>
      <c r="O251" s="22"/>
      <c r="P251" s="22"/>
      <c r="Q251" s="22"/>
      <c r="R251" s="22"/>
      <c r="S251" s="22"/>
    </row>
    <row r="252" spans="1:19" x14ac:dyDescent="0.15">
      <c r="A252" s="22"/>
      <c r="B252" s="22"/>
      <c r="C252" s="22"/>
      <c r="D252" s="22"/>
      <c r="E252" s="22"/>
      <c r="F252" s="22"/>
      <c r="G252" s="23"/>
      <c r="H252" s="15">
        <v>12</v>
      </c>
      <c r="I252" s="15">
        <v>13</v>
      </c>
      <c r="J252" s="15">
        <f t="shared" si="72"/>
        <v>7</v>
      </c>
      <c r="K252" s="15">
        <f t="shared" si="71"/>
        <v>8</v>
      </c>
      <c r="L252" s="15">
        <v>-39.35</v>
      </c>
      <c r="M252" s="15">
        <v>1.55</v>
      </c>
      <c r="N252" s="15">
        <f t="shared" si="62"/>
        <v>-25.387096774193548</v>
      </c>
      <c r="O252" s="22"/>
      <c r="P252" s="22"/>
      <c r="Q252" s="22"/>
      <c r="R252" s="22"/>
      <c r="S252" s="22"/>
    </row>
    <row r="253" spans="1:19" x14ac:dyDescent="0.15">
      <c r="A253" s="22"/>
      <c r="B253" s="22"/>
      <c r="C253" s="22"/>
      <c r="D253" s="22"/>
      <c r="E253" s="22"/>
      <c r="F253" s="22"/>
      <c r="G253" s="23"/>
      <c r="H253" s="15">
        <v>12</v>
      </c>
      <c r="I253" s="15">
        <v>13</v>
      </c>
      <c r="J253" s="15">
        <f t="shared" si="72"/>
        <v>8</v>
      </c>
      <c r="K253" s="15">
        <f t="shared" si="71"/>
        <v>9</v>
      </c>
      <c r="L253" s="15">
        <v>-68.09</v>
      </c>
      <c r="M253" s="15">
        <v>1.54</v>
      </c>
      <c r="N253" s="15">
        <f t="shared" si="62"/>
        <v>-44.214285714285715</v>
      </c>
      <c r="O253" s="22"/>
      <c r="P253" s="22"/>
      <c r="Q253" s="22"/>
      <c r="R253" s="22"/>
      <c r="S253" s="22"/>
    </row>
    <row r="254" spans="1:19" x14ac:dyDescent="0.15">
      <c r="A254" s="22"/>
      <c r="B254" s="22"/>
      <c r="C254" s="22"/>
      <c r="D254" s="22"/>
      <c r="E254" s="22"/>
      <c r="F254" s="22"/>
      <c r="G254" s="23"/>
      <c r="H254" s="15">
        <v>12</v>
      </c>
      <c r="I254" s="15">
        <v>13</v>
      </c>
      <c r="J254" s="15">
        <f t="shared" si="72"/>
        <v>9</v>
      </c>
      <c r="K254" s="15">
        <f t="shared" si="71"/>
        <v>10</v>
      </c>
      <c r="L254" s="15">
        <v>-164.14</v>
      </c>
      <c r="M254" s="15">
        <v>1.51</v>
      </c>
      <c r="N254" s="15">
        <f t="shared" si="62"/>
        <v>-108.70198675496688</v>
      </c>
      <c r="O254" s="22"/>
      <c r="P254" s="22"/>
      <c r="Q254" s="22"/>
      <c r="R254" s="22"/>
      <c r="S254" s="22"/>
    </row>
    <row r="255" spans="1:19" x14ac:dyDescent="0.15">
      <c r="A255" s="22"/>
      <c r="B255" s="22"/>
      <c r="C255" s="22"/>
      <c r="D255" s="22"/>
      <c r="E255" s="22"/>
      <c r="F255" s="22"/>
      <c r="G255" s="23"/>
      <c r="H255" s="15">
        <v>12</v>
      </c>
      <c r="I255" s="15">
        <v>13</v>
      </c>
      <c r="J255" s="15">
        <f t="shared" si="72"/>
        <v>10</v>
      </c>
      <c r="K255" s="15">
        <f t="shared" si="71"/>
        <v>11</v>
      </c>
      <c r="L255" s="15">
        <v>-609.63</v>
      </c>
      <c r="M255" s="15">
        <v>1.53</v>
      </c>
      <c r="N255" s="15">
        <f t="shared" si="62"/>
        <v>-398.45098039215685</v>
      </c>
      <c r="O255" s="22"/>
      <c r="P255" s="22"/>
      <c r="Q255" s="22"/>
      <c r="R255" s="22"/>
      <c r="S255" s="22"/>
    </row>
    <row r="256" spans="1:19" x14ac:dyDescent="0.15">
      <c r="A256" s="22"/>
      <c r="B256" s="22"/>
      <c r="C256" s="22"/>
      <c r="D256" s="22"/>
      <c r="E256" s="22"/>
      <c r="F256" s="22"/>
      <c r="G256" s="23"/>
      <c r="H256" s="15">
        <v>13</v>
      </c>
      <c r="I256" s="15">
        <v>14</v>
      </c>
      <c r="J256" s="15">
        <f>I256+1</f>
        <v>15</v>
      </c>
      <c r="K256" s="15">
        <f>J256+1</f>
        <v>16</v>
      </c>
      <c r="L256" s="15">
        <v>-677.59</v>
      </c>
      <c r="M256" s="15">
        <v>1.46</v>
      </c>
      <c r="N256" s="15">
        <f t="shared" si="62"/>
        <v>-464.10273972602744</v>
      </c>
      <c r="O256" s="22"/>
      <c r="P256" s="22"/>
      <c r="Q256" s="22"/>
      <c r="R256" s="22"/>
      <c r="S256" s="22"/>
    </row>
    <row r="257" spans="1:19" x14ac:dyDescent="0.15">
      <c r="A257" s="22"/>
      <c r="B257" s="22"/>
      <c r="C257" s="22"/>
      <c r="D257" s="22"/>
      <c r="E257" s="22"/>
      <c r="F257" s="22"/>
      <c r="G257" s="23"/>
      <c r="H257" s="15">
        <v>13</v>
      </c>
      <c r="I257" s="15">
        <v>14</v>
      </c>
      <c r="J257" s="15">
        <f t="shared" ref="J257:K264" si="73">J256+1</f>
        <v>16</v>
      </c>
      <c r="K257" s="15">
        <f t="shared" si="73"/>
        <v>17</v>
      </c>
      <c r="L257" s="15">
        <v>-158.46</v>
      </c>
      <c r="M257" s="15">
        <v>1.47</v>
      </c>
      <c r="N257" s="15">
        <f t="shared" si="62"/>
        <v>-107.79591836734694</v>
      </c>
      <c r="O257" s="22"/>
      <c r="P257" s="22"/>
      <c r="Q257" s="22"/>
      <c r="R257" s="22"/>
      <c r="S257" s="22"/>
    </row>
    <row r="258" spans="1:19" x14ac:dyDescent="0.15">
      <c r="A258" s="22"/>
      <c r="B258" s="22"/>
      <c r="C258" s="22"/>
      <c r="D258" s="22"/>
      <c r="E258" s="22"/>
      <c r="F258" s="22"/>
      <c r="G258" s="23"/>
      <c r="H258" s="15">
        <v>13</v>
      </c>
      <c r="I258" s="15">
        <v>14</v>
      </c>
      <c r="J258" s="15">
        <f t="shared" si="73"/>
        <v>17</v>
      </c>
      <c r="K258" s="15">
        <f t="shared" si="73"/>
        <v>18</v>
      </c>
      <c r="L258" s="15">
        <v>-61.51</v>
      </c>
      <c r="M258" s="15">
        <v>1.47</v>
      </c>
      <c r="N258" s="15">
        <f t="shared" si="62"/>
        <v>-41.843537414965986</v>
      </c>
      <c r="O258" s="22"/>
      <c r="P258" s="22"/>
      <c r="Q258" s="22"/>
      <c r="R258" s="22"/>
      <c r="S258" s="22"/>
    </row>
    <row r="259" spans="1:19" x14ac:dyDescent="0.15">
      <c r="A259" s="22"/>
      <c r="B259" s="22"/>
      <c r="C259" s="22"/>
      <c r="D259" s="22"/>
      <c r="E259" s="22"/>
      <c r="F259" s="22"/>
      <c r="G259" s="23"/>
      <c r="H259" s="15">
        <v>13</v>
      </c>
      <c r="I259" s="15">
        <v>14</v>
      </c>
      <c r="J259" s="15">
        <f t="shared" si="73"/>
        <v>18</v>
      </c>
      <c r="K259" s="15">
        <f t="shared" si="73"/>
        <v>19</v>
      </c>
      <c r="L259" s="15">
        <v>-36.130000000000003</v>
      </c>
      <c r="M259" s="15">
        <v>1.48</v>
      </c>
      <c r="N259" s="15">
        <f t="shared" si="62"/>
        <v>-24.412162162162165</v>
      </c>
      <c r="O259" s="22"/>
      <c r="P259" s="22"/>
      <c r="Q259" s="22"/>
      <c r="R259" s="22"/>
      <c r="S259" s="22"/>
    </row>
    <row r="260" spans="1:19" x14ac:dyDescent="0.15">
      <c r="A260" s="22"/>
      <c r="B260" s="22"/>
      <c r="C260" s="22"/>
      <c r="D260" s="22"/>
      <c r="E260" s="22"/>
      <c r="F260" s="22"/>
      <c r="G260" s="25"/>
      <c r="H260" s="15">
        <v>13</v>
      </c>
      <c r="I260" s="15">
        <v>14</v>
      </c>
      <c r="J260" s="15">
        <f t="shared" si="73"/>
        <v>19</v>
      </c>
      <c r="K260" s="15">
        <f t="shared" si="73"/>
        <v>20</v>
      </c>
      <c r="L260" s="15">
        <v>-18.72</v>
      </c>
      <c r="M260" s="15">
        <v>1.47</v>
      </c>
      <c r="N260" s="15">
        <f t="shared" ref="N260:N323" si="74">L260/M260</f>
        <v>-12.73469387755102</v>
      </c>
      <c r="O260" s="22"/>
      <c r="P260" s="22"/>
      <c r="Q260" s="22"/>
      <c r="R260" s="22"/>
      <c r="S260" s="22"/>
    </row>
    <row r="261" spans="1:19" x14ac:dyDescent="0.15">
      <c r="A261" s="22"/>
      <c r="B261" s="22"/>
      <c r="C261" s="22"/>
      <c r="D261" s="22"/>
      <c r="E261" s="22"/>
      <c r="F261" s="22"/>
      <c r="G261" s="25"/>
      <c r="H261" s="15">
        <v>13</v>
      </c>
      <c r="I261" s="15">
        <v>14</v>
      </c>
      <c r="J261" s="15">
        <f t="shared" si="73"/>
        <v>20</v>
      </c>
      <c r="K261" s="15">
        <f t="shared" si="73"/>
        <v>21</v>
      </c>
      <c r="L261" s="15">
        <v>-10.87</v>
      </c>
      <c r="M261" s="15">
        <v>1.46</v>
      </c>
      <c r="N261" s="15">
        <f t="shared" si="74"/>
        <v>-7.4452054794520546</v>
      </c>
      <c r="O261" s="22"/>
      <c r="P261" s="22"/>
      <c r="Q261" s="22"/>
      <c r="R261" s="22"/>
      <c r="S261" s="22"/>
    </row>
    <row r="262" spans="1:19" x14ac:dyDescent="0.15">
      <c r="A262" s="22"/>
      <c r="B262" s="22"/>
      <c r="C262" s="22"/>
      <c r="D262" s="22"/>
      <c r="E262" s="22"/>
      <c r="F262" s="22"/>
      <c r="G262" s="25"/>
      <c r="H262" s="15">
        <v>13</v>
      </c>
      <c r="I262" s="15">
        <v>14</v>
      </c>
      <c r="J262" s="15">
        <f t="shared" si="73"/>
        <v>21</v>
      </c>
      <c r="K262" s="15">
        <f t="shared" si="73"/>
        <v>22</v>
      </c>
      <c r="L262" s="15">
        <v>-9.3800000000000008</v>
      </c>
      <c r="M262" s="15">
        <v>1.49</v>
      </c>
      <c r="N262" s="15">
        <f t="shared" si="74"/>
        <v>-6.2953020134228197</v>
      </c>
      <c r="O262" s="22"/>
      <c r="P262" s="22"/>
      <c r="Q262" s="22"/>
      <c r="R262" s="22"/>
      <c r="S262" s="22"/>
    </row>
    <row r="263" spans="1:19" x14ac:dyDescent="0.15">
      <c r="A263" s="22"/>
      <c r="B263" s="22"/>
      <c r="C263" s="22"/>
      <c r="D263" s="22"/>
      <c r="E263" s="22"/>
      <c r="F263" s="22"/>
      <c r="G263" s="25"/>
      <c r="H263" s="15">
        <v>13</v>
      </c>
      <c r="I263" s="15">
        <v>14</v>
      </c>
      <c r="J263" s="15">
        <f t="shared" si="73"/>
        <v>22</v>
      </c>
      <c r="K263" s="15">
        <f t="shared" si="73"/>
        <v>23</v>
      </c>
      <c r="L263" s="15">
        <v>-7.38</v>
      </c>
      <c r="M263" s="15">
        <v>1.48</v>
      </c>
      <c r="N263" s="15">
        <f t="shared" si="74"/>
        <v>-4.9864864864864868</v>
      </c>
      <c r="O263" s="22"/>
      <c r="P263" s="22"/>
      <c r="Q263" s="22"/>
      <c r="R263" s="22"/>
      <c r="S263" s="22"/>
    </row>
    <row r="264" spans="1:19" x14ac:dyDescent="0.15">
      <c r="A264" s="22"/>
      <c r="B264" s="22"/>
      <c r="C264" s="22"/>
      <c r="D264" s="22"/>
      <c r="E264" s="22"/>
      <c r="F264" s="22"/>
      <c r="G264" s="25"/>
      <c r="H264" s="15">
        <v>13</v>
      </c>
      <c r="I264" s="15">
        <v>14</v>
      </c>
      <c r="J264" s="15">
        <f t="shared" si="73"/>
        <v>23</v>
      </c>
      <c r="K264" s="15">
        <f t="shared" si="73"/>
        <v>24</v>
      </c>
      <c r="L264" s="15">
        <v>-5.4</v>
      </c>
      <c r="M264" s="15">
        <v>1.48</v>
      </c>
      <c r="N264" s="15">
        <f t="shared" si="74"/>
        <v>-3.6486486486486491</v>
      </c>
      <c r="O264" s="22"/>
      <c r="P264" s="22"/>
      <c r="Q264" s="22"/>
      <c r="R264" s="22"/>
      <c r="S264" s="22"/>
    </row>
    <row r="265" spans="1:19" x14ac:dyDescent="0.15">
      <c r="A265" s="22"/>
      <c r="B265" s="22"/>
      <c r="C265" s="22"/>
      <c r="D265" s="22"/>
      <c r="E265" s="22"/>
      <c r="F265" s="22"/>
      <c r="G265" s="25"/>
      <c r="H265" s="15">
        <v>13</v>
      </c>
      <c r="I265" s="15">
        <v>14</v>
      </c>
      <c r="J265" s="15">
        <f>J264+1</f>
        <v>24</v>
      </c>
      <c r="K265" s="15">
        <v>1</v>
      </c>
      <c r="L265" s="15">
        <v>-4.62</v>
      </c>
      <c r="M265" s="15">
        <v>1.5</v>
      </c>
      <c r="N265" s="15">
        <f t="shared" si="74"/>
        <v>-3.08</v>
      </c>
      <c r="O265" s="22"/>
      <c r="P265" s="22"/>
      <c r="Q265" s="22"/>
      <c r="R265" s="22"/>
      <c r="S265" s="22"/>
    </row>
    <row r="266" spans="1:19" x14ac:dyDescent="0.15">
      <c r="A266" s="22"/>
      <c r="B266" s="22"/>
      <c r="C266" s="22"/>
      <c r="D266" s="22"/>
      <c r="E266" s="22"/>
      <c r="F266" s="22"/>
      <c r="G266" s="25"/>
      <c r="H266" s="15">
        <v>13</v>
      </c>
      <c r="I266" s="15">
        <v>14</v>
      </c>
      <c r="J266" s="15">
        <v>1</v>
      </c>
      <c r="K266" s="15">
        <f t="shared" ref="K266:K276" si="75">K265+1</f>
        <v>2</v>
      </c>
      <c r="L266" s="15">
        <v>-4.6500000000000004</v>
      </c>
      <c r="M266" s="15">
        <v>1.47</v>
      </c>
      <c r="N266" s="15">
        <f t="shared" si="74"/>
        <v>-3.1632653061224492</v>
      </c>
      <c r="O266" s="22"/>
      <c r="P266" s="22"/>
      <c r="Q266" s="22"/>
      <c r="R266" s="22"/>
      <c r="S266" s="22"/>
    </row>
    <row r="267" spans="1:19" x14ac:dyDescent="0.15">
      <c r="A267" s="22"/>
      <c r="B267" s="22"/>
      <c r="C267" s="22"/>
      <c r="D267" s="22"/>
      <c r="E267" s="22"/>
      <c r="F267" s="22"/>
      <c r="G267" s="25"/>
      <c r="H267" s="15">
        <v>13</v>
      </c>
      <c r="I267" s="15">
        <v>14</v>
      </c>
      <c r="J267" s="15">
        <f t="shared" ref="J267:J276" si="76">J266+1</f>
        <v>2</v>
      </c>
      <c r="K267" s="15">
        <f t="shared" si="75"/>
        <v>3</v>
      </c>
      <c r="L267" s="15">
        <v>-4.88</v>
      </c>
      <c r="M267" s="15">
        <v>1.46</v>
      </c>
      <c r="N267" s="15">
        <f t="shared" si="74"/>
        <v>-3.3424657534246576</v>
      </c>
      <c r="O267" s="22"/>
      <c r="P267" s="22"/>
      <c r="Q267" s="22"/>
      <c r="R267" s="22"/>
      <c r="S267" s="22"/>
    </row>
    <row r="268" spans="1:19" x14ac:dyDescent="0.15">
      <c r="A268" s="22"/>
      <c r="B268" s="22"/>
      <c r="C268" s="22"/>
      <c r="D268" s="22"/>
      <c r="E268" s="22"/>
      <c r="F268" s="22"/>
      <c r="G268" s="25"/>
      <c r="H268" s="15">
        <v>13</v>
      </c>
      <c r="I268" s="15">
        <v>14</v>
      </c>
      <c r="J268" s="15">
        <f t="shared" si="76"/>
        <v>3</v>
      </c>
      <c r="K268" s="15">
        <f t="shared" si="75"/>
        <v>4</v>
      </c>
      <c r="L268" s="15">
        <v>-4.8499999999999996</v>
      </c>
      <c r="M268" s="15">
        <v>1.48</v>
      </c>
      <c r="N268" s="15">
        <f t="shared" si="74"/>
        <v>-3.2770270270270268</v>
      </c>
      <c r="O268" s="22"/>
      <c r="P268" s="22"/>
      <c r="Q268" s="22"/>
      <c r="R268" s="22"/>
      <c r="S268" s="22"/>
    </row>
    <row r="269" spans="1:19" x14ac:dyDescent="0.15">
      <c r="A269" s="22"/>
      <c r="B269" s="22"/>
      <c r="C269" s="22"/>
      <c r="D269" s="22"/>
      <c r="E269" s="22"/>
      <c r="F269" s="22"/>
      <c r="G269" s="25"/>
      <c r="H269" s="15">
        <v>13</v>
      </c>
      <c r="I269" s="15">
        <v>14</v>
      </c>
      <c r="J269" s="15">
        <f t="shared" si="76"/>
        <v>4</v>
      </c>
      <c r="K269" s="15">
        <f t="shared" si="75"/>
        <v>5</v>
      </c>
      <c r="L269" s="15">
        <v>-6.32</v>
      </c>
      <c r="M269" s="15">
        <v>1.48</v>
      </c>
      <c r="N269" s="15">
        <f t="shared" si="74"/>
        <v>-4.2702702702702702</v>
      </c>
      <c r="O269" s="22"/>
      <c r="P269" s="22"/>
      <c r="Q269" s="22"/>
      <c r="R269" s="22"/>
      <c r="S269" s="22"/>
    </row>
    <row r="270" spans="1:19" x14ac:dyDescent="0.15">
      <c r="A270" s="22"/>
      <c r="B270" s="22"/>
      <c r="C270" s="22"/>
      <c r="D270" s="22"/>
      <c r="E270" s="22"/>
      <c r="F270" s="22"/>
      <c r="G270" s="25"/>
      <c r="H270" s="15">
        <v>13</v>
      </c>
      <c r="I270" s="15">
        <v>14</v>
      </c>
      <c r="J270" s="15">
        <f t="shared" si="76"/>
        <v>5</v>
      </c>
      <c r="K270" s="15">
        <f t="shared" si="75"/>
        <v>6</v>
      </c>
      <c r="L270" s="15">
        <v>-8.5399999999999991</v>
      </c>
      <c r="M270" s="15">
        <v>1.46</v>
      </c>
      <c r="N270" s="15">
        <f t="shared" si="74"/>
        <v>-5.8493150684931505</v>
      </c>
      <c r="O270" s="22"/>
      <c r="P270" s="22"/>
      <c r="Q270" s="22"/>
      <c r="R270" s="22"/>
      <c r="S270" s="22"/>
    </row>
    <row r="271" spans="1:19" x14ac:dyDescent="0.15">
      <c r="A271" s="22"/>
      <c r="B271" s="22"/>
      <c r="C271" s="22"/>
      <c r="D271" s="22"/>
      <c r="E271" s="22"/>
      <c r="F271" s="22"/>
      <c r="G271" s="25"/>
      <c r="H271" s="15">
        <v>13</v>
      </c>
      <c r="I271" s="15">
        <v>14</v>
      </c>
      <c r="J271" s="15">
        <f t="shared" si="76"/>
        <v>6</v>
      </c>
      <c r="K271" s="15">
        <f t="shared" si="75"/>
        <v>7</v>
      </c>
      <c r="L271" s="15">
        <v>-12.7</v>
      </c>
      <c r="M271" s="15">
        <v>1.47</v>
      </c>
      <c r="N271" s="15">
        <f t="shared" si="74"/>
        <v>-8.6394557823129254</v>
      </c>
      <c r="O271" s="22"/>
      <c r="P271" s="22"/>
      <c r="Q271" s="22"/>
      <c r="R271" s="22"/>
      <c r="S271" s="22"/>
    </row>
    <row r="272" spans="1:19" x14ac:dyDescent="0.15">
      <c r="A272" s="22"/>
      <c r="B272" s="22"/>
      <c r="C272" s="22"/>
      <c r="D272" s="22"/>
      <c r="E272" s="22"/>
      <c r="F272" s="22"/>
      <c r="G272" s="25"/>
      <c r="H272" s="15">
        <v>13</v>
      </c>
      <c r="I272" s="15">
        <v>14</v>
      </c>
      <c r="J272" s="15">
        <f t="shared" si="76"/>
        <v>7</v>
      </c>
      <c r="K272" s="15">
        <f t="shared" si="75"/>
        <v>8</v>
      </c>
      <c r="L272" s="15">
        <v>-20.27</v>
      </c>
      <c r="M272" s="15">
        <v>1.49</v>
      </c>
      <c r="N272" s="15">
        <f t="shared" si="74"/>
        <v>-13.604026845637584</v>
      </c>
      <c r="O272" s="22"/>
      <c r="P272" s="22"/>
      <c r="Q272" s="22"/>
      <c r="R272" s="22"/>
      <c r="S272" s="22"/>
    </row>
    <row r="273" spans="1:19" x14ac:dyDescent="0.15">
      <c r="A273" s="22"/>
      <c r="B273" s="22"/>
      <c r="C273" s="22"/>
      <c r="D273" s="22"/>
      <c r="E273" s="22"/>
      <c r="F273" s="22"/>
      <c r="G273" s="25"/>
      <c r="H273" s="15">
        <v>13</v>
      </c>
      <c r="I273" s="15">
        <v>14</v>
      </c>
      <c r="J273" s="15">
        <f t="shared" si="76"/>
        <v>8</v>
      </c>
      <c r="K273" s="15">
        <f t="shared" si="75"/>
        <v>9</v>
      </c>
      <c r="L273" s="15">
        <v>-33.06</v>
      </c>
      <c r="M273" s="15">
        <v>1.47</v>
      </c>
      <c r="N273" s="15">
        <f t="shared" si="74"/>
        <v>-22.489795918367349</v>
      </c>
      <c r="O273" s="22"/>
      <c r="P273" s="22"/>
      <c r="Q273" s="22"/>
      <c r="R273" s="22"/>
      <c r="S273" s="22"/>
    </row>
    <row r="274" spans="1:19" x14ac:dyDescent="0.15">
      <c r="A274" s="22"/>
      <c r="B274" s="22"/>
      <c r="C274" s="22"/>
      <c r="D274" s="22"/>
      <c r="E274" s="22"/>
      <c r="F274" s="22"/>
      <c r="G274" s="25"/>
      <c r="H274" s="15">
        <v>13</v>
      </c>
      <c r="I274" s="15">
        <v>14</v>
      </c>
      <c r="J274" s="15">
        <f t="shared" si="76"/>
        <v>9</v>
      </c>
      <c r="K274" s="15">
        <f t="shared" si="75"/>
        <v>10</v>
      </c>
      <c r="L274" s="15">
        <v>-66.040000000000006</v>
      </c>
      <c r="M274" s="15">
        <v>1.45</v>
      </c>
      <c r="N274" s="15">
        <f t="shared" si="74"/>
        <v>-45.5448275862069</v>
      </c>
      <c r="O274" s="22"/>
      <c r="P274" s="22"/>
      <c r="Q274" s="22"/>
      <c r="R274" s="22"/>
      <c r="S274" s="22"/>
    </row>
    <row r="275" spans="1:19" x14ac:dyDescent="0.15">
      <c r="A275" s="22"/>
      <c r="B275" s="22"/>
      <c r="C275" s="22"/>
      <c r="D275" s="22"/>
      <c r="E275" s="22"/>
      <c r="F275" s="22"/>
      <c r="G275" s="25"/>
      <c r="H275" s="15">
        <v>13</v>
      </c>
      <c r="I275" s="15">
        <v>14</v>
      </c>
      <c r="J275" s="15">
        <f t="shared" si="76"/>
        <v>10</v>
      </c>
      <c r="K275" s="15">
        <f t="shared" si="75"/>
        <v>11</v>
      </c>
      <c r="L275" s="15">
        <v>-155.97</v>
      </c>
      <c r="M275" s="15">
        <v>1.46</v>
      </c>
      <c r="N275" s="15">
        <f t="shared" si="74"/>
        <v>-106.82876712328768</v>
      </c>
      <c r="O275" s="22"/>
      <c r="P275" s="22"/>
      <c r="Q275" s="22"/>
      <c r="R275" s="22"/>
      <c r="S275" s="22"/>
    </row>
    <row r="276" spans="1:19" x14ac:dyDescent="0.15">
      <c r="A276" s="22"/>
      <c r="B276" s="22"/>
      <c r="C276" s="22"/>
      <c r="D276" s="22"/>
      <c r="E276" s="22"/>
      <c r="F276" s="22"/>
      <c r="G276" s="25"/>
      <c r="H276" s="15">
        <v>13</v>
      </c>
      <c r="I276" s="15">
        <v>14</v>
      </c>
      <c r="J276" s="15">
        <f t="shared" si="76"/>
        <v>11</v>
      </c>
      <c r="K276" s="15">
        <f t="shared" si="75"/>
        <v>12</v>
      </c>
      <c r="L276" s="15">
        <v>-640.63</v>
      </c>
      <c r="M276" s="15">
        <v>1.51</v>
      </c>
      <c r="N276" s="15">
        <f t="shared" si="74"/>
        <v>-424.25827814569539</v>
      </c>
      <c r="O276" s="22"/>
      <c r="P276" s="22"/>
      <c r="Q276" s="22"/>
      <c r="R276" s="22"/>
      <c r="S276" s="22"/>
    </row>
    <row r="277" spans="1:19" x14ac:dyDescent="0.15">
      <c r="A277" s="22"/>
      <c r="B277" s="22"/>
      <c r="C277" s="22"/>
      <c r="D277" s="22"/>
      <c r="E277" s="22"/>
      <c r="F277" s="22"/>
      <c r="G277" s="25"/>
      <c r="H277" s="15">
        <v>14</v>
      </c>
      <c r="I277" s="15">
        <v>15</v>
      </c>
      <c r="J277" s="15">
        <f>I277+1</f>
        <v>16</v>
      </c>
      <c r="K277" s="15">
        <f>J277+1</f>
        <v>17</v>
      </c>
      <c r="L277" s="15">
        <v>-549.27</v>
      </c>
      <c r="M277" s="15">
        <v>1.46</v>
      </c>
      <c r="N277" s="15">
        <f t="shared" si="74"/>
        <v>-376.21232876712327</v>
      </c>
      <c r="O277" s="22"/>
      <c r="P277" s="22"/>
      <c r="Q277" s="22"/>
      <c r="R277" s="22"/>
      <c r="S277" s="22"/>
    </row>
    <row r="278" spans="1:19" x14ac:dyDescent="0.15">
      <c r="A278" s="22"/>
      <c r="B278" s="22"/>
      <c r="C278" s="22"/>
      <c r="D278" s="22"/>
      <c r="E278" s="22"/>
      <c r="F278" s="22"/>
      <c r="G278" s="25"/>
      <c r="H278" s="15">
        <v>14</v>
      </c>
      <c r="I278" s="15">
        <v>15</v>
      </c>
      <c r="J278" s="15">
        <f t="shared" ref="J278:K284" si="77">J277+1</f>
        <v>17</v>
      </c>
      <c r="K278" s="15">
        <f t="shared" si="77"/>
        <v>18</v>
      </c>
      <c r="L278" s="15">
        <v>-136.69</v>
      </c>
      <c r="M278" s="15">
        <v>1.45</v>
      </c>
      <c r="N278" s="15">
        <f t="shared" si="74"/>
        <v>-94.268965517241384</v>
      </c>
      <c r="O278" s="22"/>
      <c r="P278" s="22"/>
      <c r="Q278" s="22"/>
      <c r="R278" s="22"/>
      <c r="S278" s="22"/>
    </row>
    <row r="279" spans="1:19" x14ac:dyDescent="0.15">
      <c r="A279" s="22"/>
      <c r="B279" s="22"/>
      <c r="C279" s="22"/>
      <c r="D279" s="22"/>
      <c r="E279" s="22"/>
      <c r="F279" s="22"/>
      <c r="G279" s="25"/>
      <c r="H279" s="15">
        <v>14</v>
      </c>
      <c r="I279" s="15">
        <v>15</v>
      </c>
      <c r="J279" s="15">
        <f t="shared" si="77"/>
        <v>18</v>
      </c>
      <c r="K279" s="15">
        <f t="shared" si="77"/>
        <v>19</v>
      </c>
      <c r="L279" s="15">
        <v>-64.150000000000006</v>
      </c>
      <c r="M279" s="15">
        <v>1.46</v>
      </c>
      <c r="N279" s="15">
        <f t="shared" si="74"/>
        <v>-43.938356164383563</v>
      </c>
      <c r="O279" s="22"/>
      <c r="P279" s="22"/>
      <c r="Q279" s="22"/>
      <c r="R279" s="22"/>
      <c r="S279" s="22"/>
    </row>
    <row r="280" spans="1:19" x14ac:dyDescent="0.15">
      <c r="A280" s="22"/>
      <c r="B280" s="22"/>
      <c r="C280" s="22"/>
      <c r="D280" s="22"/>
      <c r="E280" s="22"/>
      <c r="F280" s="22"/>
      <c r="G280" s="25"/>
      <c r="H280" s="15">
        <v>14</v>
      </c>
      <c r="I280" s="15">
        <v>15</v>
      </c>
      <c r="J280" s="15">
        <f t="shared" si="77"/>
        <v>19</v>
      </c>
      <c r="K280" s="15">
        <f t="shared" si="77"/>
        <v>20</v>
      </c>
      <c r="L280" s="15">
        <v>-33.49</v>
      </c>
      <c r="M280" s="15">
        <v>1.45</v>
      </c>
      <c r="N280" s="15">
        <f t="shared" si="74"/>
        <v>-23.096551724137932</v>
      </c>
      <c r="O280" s="22"/>
      <c r="P280" s="22"/>
      <c r="Q280" s="22"/>
      <c r="R280" s="22"/>
      <c r="S280" s="22"/>
    </row>
    <row r="281" spans="1:19" x14ac:dyDescent="0.15">
      <c r="A281" s="22"/>
      <c r="B281" s="22"/>
      <c r="C281" s="22"/>
      <c r="D281" s="22"/>
      <c r="E281" s="22"/>
      <c r="F281" s="22"/>
      <c r="G281" s="25"/>
      <c r="H281" s="15">
        <v>14</v>
      </c>
      <c r="I281" s="15">
        <v>15</v>
      </c>
      <c r="J281" s="15">
        <f t="shared" si="77"/>
        <v>20</v>
      </c>
      <c r="K281" s="15">
        <f t="shared" si="77"/>
        <v>21</v>
      </c>
      <c r="L281" s="15">
        <v>-23.58</v>
      </c>
      <c r="M281" s="15">
        <v>1.44</v>
      </c>
      <c r="N281" s="15">
        <f t="shared" si="74"/>
        <v>-16.375</v>
      </c>
      <c r="O281" s="22"/>
      <c r="P281" s="22"/>
      <c r="Q281" s="22"/>
      <c r="R281" s="22"/>
      <c r="S281" s="22"/>
    </row>
    <row r="282" spans="1:19" x14ac:dyDescent="0.15">
      <c r="A282" s="22"/>
      <c r="B282" s="22"/>
      <c r="C282" s="22"/>
      <c r="D282" s="22"/>
      <c r="E282" s="22"/>
      <c r="F282" s="22"/>
      <c r="G282" s="25"/>
      <c r="H282" s="15">
        <v>14</v>
      </c>
      <c r="I282" s="15">
        <v>15</v>
      </c>
      <c r="J282" s="15">
        <f t="shared" si="77"/>
        <v>21</v>
      </c>
      <c r="K282" s="15">
        <f t="shared" si="77"/>
        <v>22</v>
      </c>
      <c r="L282" s="22">
        <v>-14</v>
      </c>
      <c r="M282" s="22">
        <v>1.44</v>
      </c>
      <c r="N282" s="15">
        <f t="shared" si="74"/>
        <v>-9.7222222222222232</v>
      </c>
      <c r="O282" s="22"/>
      <c r="P282" s="22"/>
      <c r="Q282" s="22"/>
      <c r="R282" s="22"/>
      <c r="S282" s="22"/>
    </row>
    <row r="283" spans="1:19" x14ac:dyDescent="0.15">
      <c r="A283" s="22"/>
      <c r="B283" s="22"/>
      <c r="C283" s="22"/>
      <c r="D283" s="22"/>
      <c r="E283" s="22"/>
      <c r="F283" s="22"/>
      <c r="G283" s="25"/>
      <c r="H283" s="15">
        <v>14</v>
      </c>
      <c r="I283" s="15">
        <v>15</v>
      </c>
      <c r="J283" s="15">
        <f t="shared" si="77"/>
        <v>22</v>
      </c>
      <c r="K283" s="15">
        <f t="shared" si="77"/>
        <v>23</v>
      </c>
      <c r="L283" s="22">
        <v>-10.9</v>
      </c>
      <c r="M283" s="22">
        <v>1.47</v>
      </c>
      <c r="N283" s="15">
        <f t="shared" si="74"/>
        <v>-7.4149659863945585</v>
      </c>
      <c r="O283" s="22"/>
      <c r="P283" s="22"/>
      <c r="Q283" s="22"/>
      <c r="R283" s="22"/>
      <c r="S283" s="22"/>
    </row>
    <row r="284" spans="1:19" x14ac:dyDescent="0.15">
      <c r="A284" s="22"/>
      <c r="B284" s="22"/>
      <c r="C284" s="22"/>
      <c r="D284" s="22"/>
      <c r="E284" s="22"/>
      <c r="F284" s="22"/>
      <c r="G284" s="25"/>
      <c r="H284" s="15">
        <v>14</v>
      </c>
      <c r="I284" s="15">
        <v>15</v>
      </c>
      <c r="J284" s="15">
        <f t="shared" si="77"/>
        <v>23</v>
      </c>
      <c r="K284" s="15">
        <f t="shared" si="77"/>
        <v>24</v>
      </c>
      <c r="L284" s="22">
        <v>-11.18</v>
      </c>
      <c r="M284" s="22">
        <v>1.45</v>
      </c>
      <c r="N284" s="15">
        <f t="shared" si="74"/>
        <v>-7.7103448275862068</v>
      </c>
      <c r="O284" s="22"/>
      <c r="P284" s="22"/>
      <c r="Q284" s="22"/>
      <c r="R284" s="22"/>
      <c r="S284" s="22"/>
    </row>
    <row r="285" spans="1:19" x14ac:dyDescent="0.15">
      <c r="A285" s="22"/>
      <c r="B285" s="22"/>
      <c r="C285" s="22"/>
      <c r="D285" s="22"/>
      <c r="E285" s="22"/>
      <c r="F285" s="22"/>
      <c r="G285" s="25"/>
      <c r="H285" s="15">
        <v>14</v>
      </c>
      <c r="I285" s="15">
        <v>15</v>
      </c>
      <c r="J285" s="15">
        <f>J284+1</f>
        <v>24</v>
      </c>
      <c r="K285" s="15">
        <v>1</v>
      </c>
      <c r="L285" s="22">
        <v>-12.91</v>
      </c>
      <c r="M285" s="22">
        <v>1.46</v>
      </c>
      <c r="N285" s="15">
        <f t="shared" si="74"/>
        <v>-8.8424657534246585</v>
      </c>
      <c r="O285" s="22"/>
      <c r="P285" s="22"/>
      <c r="Q285" s="22"/>
      <c r="R285" s="22"/>
      <c r="S285" s="22"/>
    </row>
    <row r="286" spans="1:19" x14ac:dyDescent="0.15">
      <c r="A286" s="22"/>
      <c r="B286" s="22"/>
      <c r="C286" s="22"/>
      <c r="D286" s="22"/>
      <c r="E286" s="22"/>
      <c r="F286" s="22"/>
      <c r="G286" s="25"/>
      <c r="H286" s="15">
        <v>14</v>
      </c>
      <c r="I286" s="15">
        <v>15</v>
      </c>
      <c r="J286" s="15">
        <v>1</v>
      </c>
      <c r="K286" s="15">
        <f t="shared" ref="K286:K297" si="78">K285+1</f>
        <v>2</v>
      </c>
      <c r="L286" s="22">
        <v>-11.62</v>
      </c>
      <c r="M286" s="22">
        <v>1.45</v>
      </c>
      <c r="N286" s="15">
        <f t="shared" si="74"/>
        <v>-8.0137931034482754</v>
      </c>
      <c r="O286" s="22"/>
      <c r="P286" s="22"/>
      <c r="Q286" s="22"/>
      <c r="R286" s="22"/>
      <c r="S286" s="22"/>
    </row>
    <row r="287" spans="1:19" x14ac:dyDescent="0.15">
      <c r="A287" s="22"/>
      <c r="B287" s="22"/>
      <c r="C287" s="22"/>
      <c r="D287" s="22"/>
      <c r="E287" s="22"/>
      <c r="F287" s="22"/>
      <c r="G287" s="25"/>
      <c r="H287" s="15">
        <v>14</v>
      </c>
      <c r="I287" s="15">
        <v>15</v>
      </c>
      <c r="J287" s="15">
        <f t="shared" ref="J287:J297" si="79">J286+1</f>
        <v>2</v>
      </c>
      <c r="K287" s="15">
        <f t="shared" si="78"/>
        <v>3</v>
      </c>
      <c r="L287" s="22">
        <v>-8.5</v>
      </c>
      <c r="M287" s="22">
        <v>1.44</v>
      </c>
      <c r="N287" s="15">
        <f t="shared" si="74"/>
        <v>-5.9027777777777777</v>
      </c>
      <c r="O287" s="22"/>
      <c r="P287" s="22"/>
      <c r="Q287" s="22"/>
      <c r="R287" s="22"/>
      <c r="S287" s="22"/>
    </row>
    <row r="288" spans="1:19" x14ac:dyDescent="0.15">
      <c r="A288" s="22"/>
      <c r="B288" s="22"/>
      <c r="C288" s="22"/>
      <c r="D288" s="22"/>
      <c r="E288" s="22"/>
      <c r="F288" s="22"/>
      <c r="G288" s="25"/>
      <c r="H288" s="15">
        <v>14</v>
      </c>
      <c r="I288" s="15">
        <v>15</v>
      </c>
      <c r="J288" s="15">
        <f t="shared" si="79"/>
        <v>3</v>
      </c>
      <c r="K288" s="15">
        <f t="shared" si="78"/>
        <v>4</v>
      </c>
      <c r="L288" s="22">
        <v>-11.3</v>
      </c>
      <c r="M288" s="22">
        <v>1.46</v>
      </c>
      <c r="N288" s="15">
        <f t="shared" si="74"/>
        <v>-7.7397260273972606</v>
      </c>
      <c r="O288" s="22"/>
      <c r="P288" s="22"/>
      <c r="Q288" s="22"/>
      <c r="R288" s="22"/>
      <c r="S288" s="22"/>
    </row>
    <row r="289" spans="1:19" x14ac:dyDescent="0.15">
      <c r="A289" s="22"/>
      <c r="B289" s="22"/>
      <c r="C289" s="22"/>
      <c r="D289" s="22"/>
      <c r="E289" s="22"/>
      <c r="F289" s="22"/>
      <c r="G289" s="25"/>
      <c r="H289" s="15">
        <v>14</v>
      </c>
      <c r="I289" s="15">
        <v>15</v>
      </c>
      <c r="J289" s="15">
        <f t="shared" si="79"/>
        <v>4</v>
      </c>
      <c r="K289" s="15">
        <f t="shared" si="78"/>
        <v>5</v>
      </c>
      <c r="L289" s="22">
        <v>-8.76</v>
      </c>
      <c r="M289" s="22">
        <v>1.46</v>
      </c>
      <c r="N289" s="15">
        <f t="shared" si="74"/>
        <v>-6</v>
      </c>
      <c r="O289" s="22"/>
      <c r="P289" s="22"/>
      <c r="Q289" s="22"/>
      <c r="R289" s="22"/>
      <c r="S289" s="22"/>
    </row>
    <row r="290" spans="1:19" x14ac:dyDescent="0.15">
      <c r="A290" s="22"/>
      <c r="B290" s="22"/>
      <c r="C290" s="22"/>
      <c r="D290" s="22"/>
      <c r="E290" s="22"/>
      <c r="F290" s="22"/>
      <c r="G290" s="25"/>
      <c r="H290" s="15">
        <v>14</v>
      </c>
      <c r="I290" s="15">
        <v>15</v>
      </c>
      <c r="J290" s="15">
        <f t="shared" si="79"/>
        <v>5</v>
      </c>
      <c r="K290" s="15">
        <f t="shared" si="78"/>
        <v>6</v>
      </c>
      <c r="L290" s="22">
        <v>-9.8699999999999992</v>
      </c>
      <c r="M290" s="22">
        <v>1.44</v>
      </c>
      <c r="N290" s="15">
        <f t="shared" si="74"/>
        <v>-6.8541666666666661</v>
      </c>
      <c r="O290" s="22"/>
      <c r="P290" s="22"/>
      <c r="Q290" s="22"/>
      <c r="R290" s="22"/>
      <c r="S290" s="22"/>
    </row>
    <row r="291" spans="1:19" x14ac:dyDescent="0.15">
      <c r="A291" s="22"/>
      <c r="B291" s="22"/>
      <c r="C291" s="22"/>
      <c r="D291" s="22"/>
      <c r="E291" s="22"/>
      <c r="F291" s="22"/>
      <c r="G291" s="25"/>
      <c r="H291" s="15">
        <v>14</v>
      </c>
      <c r="I291" s="15">
        <v>15</v>
      </c>
      <c r="J291" s="15">
        <f t="shared" si="79"/>
        <v>6</v>
      </c>
      <c r="K291" s="15">
        <f t="shared" si="78"/>
        <v>7</v>
      </c>
      <c r="L291" s="22">
        <f>-13.32</f>
        <v>-13.32</v>
      </c>
      <c r="M291" s="22">
        <v>1.45</v>
      </c>
      <c r="N291" s="15">
        <f t="shared" si="74"/>
        <v>-9.1862068965517238</v>
      </c>
      <c r="O291" s="22"/>
      <c r="P291" s="22"/>
      <c r="Q291" s="22"/>
      <c r="R291" s="22"/>
      <c r="S291" s="22"/>
    </row>
    <row r="292" spans="1:19" x14ac:dyDescent="0.15">
      <c r="A292" s="22"/>
      <c r="B292" s="22"/>
      <c r="C292" s="22"/>
      <c r="D292" s="22"/>
      <c r="E292" s="22"/>
      <c r="F292" s="22"/>
      <c r="G292" s="25"/>
      <c r="H292" s="15">
        <v>14</v>
      </c>
      <c r="I292" s="15">
        <v>15</v>
      </c>
      <c r="J292" s="15">
        <f t="shared" si="79"/>
        <v>7</v>
      </c>
      <c r="K292" s="15">
        <f t="shared" si="78"/>
        <v>8</v>
      </c>
      <c r="L292" s="22">
        <v>-17.989999999999998</v>
      </c>
      <c r="M292" s="22">
        <v>1.44</v>
      </c>
      <c r="N292" s="15">
        <f t="shared" si="74"/>
        <v>-12.493055555555555</v>
      </c>
      <c r="O292" s="22"/>
      <c r="P292" s="22"/>
      <c r="Q292" s="22"/>
      <c r="R292" s="22"/>
      <c r="S292" s="22"/>
    </row>
    <row r="293" spans="1:19" x14ac:dyDescent="0.15">
      <c r="A293" s="22"/>
      <c r="B293" s="22"/>
      <c r="C293" s="22"/>
      <c r="D293" s="22"/>
      <c r="E293" s="22"/>
      <c r="F293" s="22"/>
      <c r="G293" s="25"/>
      <c r="H293" s="15">
        <v>14</v>
      </c>
      <c r="I293" s="15">
        <v>15</v>
      </c>
      <c r="J293" s="15">
        <f t="shared" si="79"/>
        <v>8</v>
      </c>
      <c r="K293" s="15">
        <f t="shared" si="78"/>
        <v>9</v>
      </c>
      <c r="L293" s="22">
        <v>-21.67</v>
      </c>
      <c r="M293" s="22">
        <v>1.43</v>
      </c>
      <c r="N293" s="15">
        <f t="shared" si="74"/>
        <v>-15.153846153846155</v>
      </c>
      <c r="O293" s="22"/>
      <c r="P293" s="22"/>
      <c r="Q293" s="22"/>
      <c r="R293" s="22"/>
      <c r="S293" s="22"/>
    </row>
    <row r="294" spans="1:19" x14ac:dyDescent="0.15">
      <c r="A294" s="22"/>
      <c r="B294" s="22"/>
      <c r="C294" s="22"/>
      <c r="D294" s="22"/>
      <c r="E294" s="22"/>
      <c r="F294" s="22"/>
      <c r="G294" s="25"/>
      <c r="H294" s="15">
        <v>14</v>
      </c>
      <c r="I294" s="15">
        <v>15</v>
      </c>
      <c r="J294" s="15">
        <f t="shared" si="79"/>
        <v>9</v>
      </c>
      <c r="K294" s="15">
        <f t="shared" si="78"/>
        <v>10</v>
      </c>
      <c r="L294" s="22">
        <v>-34.57</v>
      </c>
      <c r="M294" s="22">
        <v>1.43</v>
      </c>
      <c r="N294" s="15">
        <f t="shared" si="74"/>
        <v>-24.174825174825177</v>
      </c>
      <c r="O294" s="22"/>
      <c r="P294" s="22"/>
      <c r="Q294" s="22"/>
      <c r="R294" s="22"/>
      <c r="S294" s="22"/>
    </row>
    <row r="295" spans="1:19" x14ac:dyDescent="0.15">
      <c r="A295" s="22"/>
      <c r="B295" s="22"/>
      <c r="C295" s="22"/>
      <c r="D295" s="22"/>
      <c r="E295" s="22"/>
      <c r="F295" s="22"/>
      <c r="G295" s="25"/>
      <c r="H295" s="15">
        <v>14</v>
      </c>
      <c r="I295" s="15">
        <v>15</v>
      </c>
      <c r="J295" s="15">
        <f t="shared" si="79"/>
        <v>10</v>
      </c>
      <c r="K295" s="15">
        <f t="shared" si="78"/>
        <v>11</v>
      </c>
      <c r="L295" s="22">
        <v>-62.04</v>
      </c>
      <c r="M295" s="22">
        <v>1.44</v>
      </c>
      <c r="N295" s="15">
        <f t="shared" si="74"/>
        <v>-43.083333333333336</v>
      </c>
      <c r="O295" s="22"/>
      <c r="P295" s="22"/>
      <c r="Q295" s="22"/>
      <c r="R295" s="22"/>
      <c r="S295" s="22"/>
    </row>
    <row r="296" spans="1:19" x14ac:dyDescent="0.15">
      <c r="A296" s="22"/>
      <c r="B296" s="22"/>
      <c r="C296" s="22"/>
      <c r="D296" s="22"/>
      <c r="E296" s="22"/>
      <c r="F296" s="22"/>
      <c r="G296" s="25"/>
      <c r="H296" s="15">
        <v>14</v>
      </c>
      <c r="I296" s="15">
        <v>15</v>
      </c>
      <c r="J296" s="15">
        <f t="shared" si="79"/>
        <v>11</v>
      </c>
      <c r="K296" s="15">
        <f t="shared" si="78"/>
        <v>12</v>
      </c>
      <c r="L296" s="22">
        <v>-150.34</v>
      </c>
      <c r="M296" s="22">
        <v>1.46</v>
      </c>
      <c r="N296" s="15">
        <f t="shared" si="74"/>
        <v>-102.97260273972603</v>
      </c>
      <c r="O296" s="22"/>
      <c r="P296" s="22"/>
      <c r="Q296" s="22"/>
      <c r="R296" s="22"/>
      <c r="S296" s="22"/>
    </row>
    <row r="297" spans="1:19" x14ac:dyDescent="0.15">
      <c r="A297" s="22"/>
      <c r="B297" s="22"/>
      <c r="C297" s="22"/>
      <c r="D297" s="22"/>
      <c r="E297" s="22"/>
      <c r="F297" s="22"/>
      <c r="G297" s="25"/>
      <c r="H297" s="15">
        <v>14</v>
      </c>
      <c r="I297" s="15">
        <v>15</v>
      </c>
      <c r="J297" s="15">
        <f t="shared" si="79"/>
        <v>12</v>
      </c>
      <c r="K297" s="15">
        <f t="shared" si="78"/>
        <v>13</v>
      </c>
      <c r="L297" s="15">
        <v>-549.92999999999995</v>
      </c>
      <c r="M297" s="15">
        <v>1.43</v>
      </c>
      <c r="N297" s="15">
        <f t="shared" si="74"/>
        <v>-384.56643356643355</v>
      </c>
      <c r="O297" s="22"/>
      <c r="P297" s="22"/>
      <c r="Q297" s="22"/>
      <c r="R297" s="22"/>
      <c r="S297" s="22"/>
    </row>
    <row r="298" spans="1:19" x14ac:dyDescent="0.15">
      <c r="A298" s="22"/>
      <c r="B298" s="22"/>
      <c r="C298" s="22"/>
      <c r="D298" s="22"/>
      <c r="E298" s="22"/>
      <c r="F298" s="22"/>
      <c r="G298" s="25"/>
      <c r="H298" s="15">
        <v>15</v>
      </c>
      <c r="I298" s="15">
        <v>16</v>
      </c>
      <c r="J298" s="15">
        <f>I298+1</f>
        <v>17</v>
      </c>
      <c r="K298" s="15">
        <f>J298+1</f>
        <v>18</v>
      </c>
      <c r="L298" s="15">
        <v>-604.22</v>
      </c>
      <c r="M298" s="15">
        <v>1.61</v>
      </c>
      <c r="N298" s="15">
        <f t="shared" si="74"/>
        <v>-375.29192546583852</v>
      </c>
      <c r="O298" s="22"/>
      <c r="P298" s="22"/>
      <c r="Q298" s="22"/>
      <c r="R298" s="22"/>
      <c r="S298" s="22"/>
    </row>
    <row r="299" spans="1:19" x14ac:dyDescent="0.15">
      <c r="A299" s="22"/>
      <c r="B299" s="22"/>
      <c r="C299" s="22"/>
      <c r="D299" s="22"/>
      <c r="E299" s="22"/>
      <c r="F299" s="22"/>
      <c r="G299" s="25"/>
      <c r="H299" s="15">
        <v>15</v>
      </c>
      <c r="I299" s="15">
        <v>16</v>
      </c>
      <c r="J299" s="15">
        <f t="shared" ref="J299:K304" si="80">J298+1</f>
        <v>18</v>
      </c>
      <c r="K299" s="15">
        <f t="shared" si="80"/>
        <v>19</v>
      </c>
      <c r="L299" s="15">
        <v>-174.87</v>
      </c>
      <c r="M299" s="15">
        <v>1.6</v>
      </c>
      <c r="N299" s="15">
        <f t="shared" si="74"/>
        <v>-109.29375</v>
      </c>
      <c r="O299" s="22"/>
      <c r="P299" s="22"/>
      <c r="Q299" s="22"/>
      <c r="R299" s="22"/>
      <c r="S299" s="22"/>
    </row>
    <row r="300" spans="1:19" x14ac:dyDescent="0.15">
      <c r="A300" s="22"/>
      <c r="B300" s="22"/>
      <c r="C300" s="22"/>
      <c r="D300" s="22"/>
      <c r="E300" s="22"/>
      <c r="F300" s="22"/>
      <c r="G300" s="25"/>
      <c r="H300" s="15">
        <v>15</v>
      </c>
      <c r="I300" s="15">
        <v>16</v>
      </c>
      <c r="J300" s="15">
        <f t="shared" si="80"/>
        <v>19</v>
      </c>
      <c r="K300" s="15">
        <f t="shared" si="80"/>
        <v>20</v>
      </c>
      <c r="L300" s="15">
        <v>-64.59</v>
      </c>
      <c r="M300" s="15">
        <v>1.58</v>
      </c>
      <c r="N300" s="15">
        <f t="shared" si="74"/>
        <v>-40.879746835443036</v>
      </c>
      <c r="O300" s="22"/>
      <c r="P300" s="22"/>
      <c r="Q300" s="22"/>
      <c r="R300" s="22"/>
      <c r="S300" s="22"/>
    </row>
    <row r="301" spans="1:19" x14ac:dyDescent="0.15">
      <c r="A301" s="22"/>
      <c r="B301" s="22"/>
      <c r="C301" s="22"/>
      <c r="D301" s="22"/>
      <c r="E301" s="22"/>
      <c r="F301" s="22"/>
      <c r="G301" s="25"/>
      <c r="H301" s="15">
        <v>15</v>
      </c>
      <c r="I301" s="15">
        <v>16</v>
      </c>
      <c r="J301" s="15">
        <f t="shared" si="80"/>
        <v>20</v>
      </c>
      <c r="K301" s="15">
        <f t="shared" si="80"/>
        <v>21</v>
      </c>
      <c r="L301" s="15">
        <v>-35.17</v>
      </c>
      <c r="M301" s="15">
        <v>1.59</v>
      </c>
      <c r="N301" s="15">
        <f t="shared" si="74"/>
        <v>-22.119496855345911</v>
      </c>
      <c r="O301" s="22"/>
      <c r="P301" s="22"/>
      <c r="Q301" s="22"/>
      <c r="R301" s="22"/>
      <c r="S301" s="22"/>
    </row>
    <row r="302" spans="1:19" x14ac:dyDescent="0.15">
      <c r="A302" s="22"/>
      <c r="B302" s="22"/>
      <c r="C302" s="22"/>
      <c r="D302" s="22"/>
      <c r="E302" s="22"/>
      <c r="F302" s="22"/>
      <c r="G302" s="25"/>
      <c r="H302" s="15">
        <v>15</v>
      </c>
      <c r="I302" s="15">
        <v>16</v>
      </c>
      <c r="J302" s="15">
        <f t="shared" si="80"/>
        <v>21</v>
      </c>
      <c r="K302" s="15">
        <f t="shared" si="80"/>
        <v>22</v>
      </c>
      <c r="L302" s="15">
        <v>-22.89</v>
      </c>
      <c r="M302" s="15">
        <v>1.61</v>
      </c>
      <c r="N302" s="15">
        <f t="shared" si="74"/>
        <v>-14.217391304347826</v>
      </c>
      <c r="O302" s="22"/>
      <c r="P302" s="22"/>
      <c r="Q302" s="22"/>
      <c r="R302" s="22"/>
      <c r="S302" s="22"/>
    </row>
    <row r="303" spans="1:19" x14ac:dyDescent="0.15">
      <c r="A303" s="22"/>
      <c r="B303" s="22"/>
      <c r="C303" s="22"/>
      <c r="D303" s="22"/>
      <c r="E303" s="22"/>
      <c r="F303" s="22"/>
      <c r="G303" s="25"/>
      <c r="H303" s="15">
        <v>15</v>
      </c>
      <c r="I303" s="15">
        <v>16</v>
      </c>
      <c r="J303" s="15">
        <f t="shared" si="80"/>
        <v>22</v>
      </c>
      <c r="K303" s="15">
        <f t="shared" si="80"/>
        <v>23</v>
      </c>
      <c r="L303" s="15">
        <v>-15.48</v>
      </c>
      <c r="M303" s="15">
        <v>1.61</v>
      </c>
      <c r="N303" s="15">
        <f t="shared" si="74"/>
        <v>-9.6149068322981357</v>
      </c>
      <c r="O303" s="22"/>
      <c r="P303" s="22"/>
      <c r="Q303" s="22"/>
      <c r="R303" s="22"/>
      <c r="S303" s="22"/>
    </row>
    <row r="304" spans="1:19" x14ac:dyDescent="0.15">
      <c r="A304" s="22"/>
      <c r="B304" s="22"/>
      <c r="C304" s="22"/>
      <c r="D304" s="22"/>
      <c r="E304" s="22"/>
      <c r="F304" s="22"/>
      <c r="G304" s="25"/>
      <c r="H304" s="15">
        <v>15</v>
      </c>
      <c r="I304" s="15">
        <v>16</v>
      </c>
      <c r="J304" s="15">
        <f t="shared" si="80"/>
        <v>23</v>
      </c>
      <c r="K304" s="15">
        <f t="shared" si="80"/>
        <v>24</v>
      </c>
      <c r="L304" s="15">
        <v>-12.37</v>
      </c>
      <c r="M304" s="15">
        <v>1.65</v>
      </c>
      <c r="N304" s="15">
        <f t="shared" si="74"/>
        <v>-7.4969696969696971</v>
      </c>
      <c r="O304" s="22"/>
      <c r="P304" s="22"/>
      <c r="Q304" s="22"/>
      <c r="R304" s="22"/>
      <c r="S304" s="22"/>
    </row>
    <row r="305" spans="1:19" x14ac:dyDescent="0.15">
      <c r="A305" s="22"/>
      <c r="B305" s="22"/>
      <c r="C305" s="22"/>
      <c r="D305" s="22"/>
      <c r="E305" s="22"/>
      <c r="F305" s="22"/>
      <c r="G305" s="25"/>
      <c r="H305" s="15">
        <v>15</v>
      </c>
      <c r="I305" s="15">
        <v>16</v>
      </c>
      <c r="J305" s="15">
        <f>J304+1</f>
        <v>24</v>
      </c>
      <c r="K305" s="15">
        <v>1</v>
      </c>
      <c r="L305" s="15">
        <v>-9.66</v>
      </c>
      <c r="M305" s="15">
        <v>1.66</v>
      </c>
      <c r="N305" s="15">
        <f t="shared" si="74"/>
        <v>-5.8192771084337354</v>
      </c>
      <c r="O305" s="22"/>
      <c r="P305" s="22"/>
      <c r="Q305" s="22"/>
      <c r="R305" s="22"/>
      <c r="S305" s="22"/>
    </row>
    <row r="306" spans="1:19" x14ac:dyDescent="0.15">
      <c r="A306" s="22"/>
      <c r="B306" s="22"/>
      <c r="C306" s="22"/>
      <c r="D306" s="22"/>
      <c r="E306" s="22"/>
      <c r="F306" s="22"/>
      <c r="G306" s="25"/>
      <c r="H306" s="15">
        <v>15</v>
      </c>
      <c r="I306" s="15">
        <v>16</v>
      </c>
      <c r="J306" s="15">
        <v>1</v>
      </c>
      <c r="K306" s="15">
        <f t="shared" ref="K306:K318" si="81">K305+1</f>
        <v>2</v>
      </c>
      <c r="L306" s="15">
        <v>-10.18</v>
      </c>
      <c r="M306" s="15">
        <v>1.64</v>
      </c>
      <c r="N306" s="15">
        <f t="shared" si="74"/>
        <v>-6.2073170731707323</v>
      </c>
      <c r="O306" s="22"/>
      <c r="P306" s="22"/>
      <c r="Q306" s="22"/>
      <c r="R306" s="22"/>
      <c r="S306" s="22"/>
    </row>
    <row r="307" spans="1:19" x14ac:dyDescent="0.15">
      <c r="A307" s="22"/>
      <c r="B307" s="22"/>
      <c r="C307" s="22"/>
      <c r="D307" s="22"/>
      <c r="E307" s="22"/>
      <c r="F307" s="22"/>
      <c r="G307" s="25"/>
      <c r="H307" s="15">
        <v>15</v>
      </c>
      <c r="I307" s="15">
        <v>16</v>
      </c>
      <c r="J307" s="15">
        <f t="shared" ref="J307:J318" si="82">J306+1</f>
        <v>2</v>
      </c>
      <c r="K307" s="15">
        <f t="shared" si="81"/>
        <v>3</v>
      </c>
      <c r="L307" s="15">
        <v>-7.37</v>
      </c>
      <c r="M307" s="15">
        <v>1.63</v>
      </c>
      <c r="N307" s="15">
        <f t="shared" si="74"/>
        <v>-4.5214723926380369</v>
      </c>
      <c r="O307" s="22"/>
      <c r="P307" s="22"/>
      <c r="Q307" s="22"/>
      <c r="R307" s="22"/>
      <c r="S307" s="22"/>
    </row>
    <row r="308" spans="1:19" x14ac:dyDescent="0.15">
      <c r="A308" s="22"/>
      <c r="B308" s="22"/>
      <c r="C308" s="22"/>
      <c r="D308" s="22"/>
      <c r="E308" s="22"/>
      <c r="F308" s="22"/>
      <c r="G308" s="25"/>
      <c r="H308" s="15">
        <v>15</v>
      </c>
      <c r="I308" s="15">
        <v>16</v>
      </c>
      <c r="J308" s="15">
        <f t="shared" si="82"/>
        <v>3</v>
      </c>
      <c r="K308" s="15">
        <f t="shared" si="81"/>
        <v>4</v>
      </c>
      <c r="L308" s="15">
        <v>-10.88</v>
      </c>
      <c r="M308" s="15">
        <v>1.65</v>
      </c>
      <c r="N308" s="15">
        <f t="shared" si="74"/>
        <v>-6.5939393939393947</v>
      </c>
      <c r="O308" s="22"/>
      <c r="P308" s="22"/>
      <c r="Q308" s="22"/>
      <c r="R308" s="22"/>
      <c r="S308" s="22"/>
    </row>
    <row r="309" spans="1:19" x14ac:dyDescent="0.15">
      <c r="A309" s="22"/>
      <c r="B309" s="22"/>
      <c r="C309" s="22"/>
      <c r="D309" s="22"/>
      <c r="E309" s="22"/>
      <c r="F309" s="22"/>
      <c r="G309" s="25"/>
      <c r="H309" s="15">
        <v>15</v>
      </c>
      <c r="I309" s="15">
        <v>16</v>
      </c>
      <c r="J309" s="15">
        <f t="shared" si="82"/>
        <v>4</v>
      </c>
      <c r="K309" s="15">
        <f t="shared" si="81"/>
        <v>5</v>
      </c>
      <c r="L309" s="15">
        <v>-8.1</v>
      </c>
      <c r="M309" s="15">
        <v>1.64</v>
      </c>
      <c r="N309" s="15">
        <f t="shared" si="74"/>
        <v>-4.9390243902439028</v>
      </c>
      <c r="O309" s="22"/>
      <c r="P309" s="22"/>
      <c r="Q309" s="22"/>
      <c r="R309" s="22"/>
      <c r="S309" s="22"/>
    </row>
    <row r="310" spans="1:19" x14ac:dyDescent="0.15">
      <c r="A310" s="22"/>
      <c r="B310" s="22"/>
      <c r="C310" s="22"/>
      <c r="D310" s="22"/>
      <c r="E310" s="22"/>
      <c r="F310" s="22"/>
      <c r="G310" s="25"/>
      <c r="H310" s="15">
        <v>15</v>
      </c>
      <c r="I310" s="15">
        <v>16</v>
      </c>
      <c r="J310" s="15">
        <f t="shared" si="82"/>
        <v>5</v>
      </c>
      <c r="K310" s="15">
        <f t="shared" si="81"/>
        <v>6</v>
      </c>
      <c r="L310" s="15">
        <v>-8.11</v>
      </c>
      <c r="M310" s="15">
        <v>1.67</v>
      </c>
      <c r="N310" s="15">
        <f t="shared" si="74"/>
        <v>-4.8562874251497004</v>
      </c>
      <c r="O310" s="22"/>
      <c r="P310" s="22"/>
      <c r="Q310" s="22"/>
      <c r="R310" s="22"/>
      <c r="S310" s="22"/>
    </row>
    <row r="311" spans="1:19" x14ac:dyDescent="0.15">
      <c r="A311" s="22"/>
      <c r="B311" s="22"/>
      <c r="C311" s="22"/>
      <c r="D311" s="22"/>
      <c r="E311" s="22"/>
      <c r="F311" s="22"/>
      <c r="G311" s="25"/>
      <c r="H311" s="15">
        <v>15</v>
      </c>
      <c r="I311" s="15">
        <v>16</v>
      </c>
      <c r="J311" s="15">
        <f t="shared" si="82"/>
        <v>6</v>
      </c>
      <c r="K311" s="15">
        <f t="shared" si="81"/>
        <v>7</v>
      </c>
      <c r="L311" s="15">
        <v>-10.41</v>
      </c>
      <c r="M311" s="15">
        <v>1.65</v>
      </c>
      <c r="N311" s="15">
        <f t="shared" si="74"/>
        <v>-6.3090909090909095</v>
      </c>
      <c r="O311" s="22"/>
      <c r="P311" s="22"/>
      <c r="Q311" s="22"/>
      <c r="R311" s="22"/>
      <c r="S311" s="22"/>
    </row>
    <row r="312" spans="1:19" x14ac:dyDescent="0.15">
      <c r="A312" s="22"/>
      <c r="B312" s="22"/>
      <c r="C312" s="22"/>
      <c r="D312" s="22"/>
      <c r="E312" s="22"/>
      <c r="F312" s="22"/>
      <c r="G312" s="25"/>
      <c r="H312" s="15">
        <v>15</v>
      </c>
      <c r="I312" s="15">
        <v>16</v>
      </c>
      <c r="J312" s="15">
        <f t="shared" si="82"/>
        <v>7</v>
      </c>
      <c r="K312" s="15">
        <f t="shared" si="81"/>
        <v>8</v>
      </c>
      <c r="L312" s="15">
        <v>-14.08</v>
      </c>
      <c r="M312" s="15">
        <v>1.67</v>
      </c>
      <c r="N312" s="15">
        <f t="shared" si="74"/>
        <v>-8.4311377245508989</v>
      </c>
      <c r="O312" s="22"/>
      <c r="P312" s="22"/>
      <c r="Q312" s="22"/>
      <c r="R312" s="22"/>
      <c r="S312" s="22"/>
    </row>
    <row r="313" spans="1:19" x14ac:dyDescent="0.15">
      <c r="A313" s="22"/>
      <c r="B313" s="22"/>
      <c r="C313" s="22"/>
      <c r="D313" s="22"/>
      <c r="E313" s="22"/>
      <c r="F313" s="22"/>
      <c r="G313" s="25"/>
      <c r="H313" s="15">
        <v>15</v>
      </c>
      <c r="I313" s="15">
        <v>16</v>
      </c>
      <c r="J313" s="15">
        <f t="shared" si="82"/>
        <v>8</v>
      </c>
      <c r="K313" s="15">
        <f t="shared" si="81"/>
        <v>9</v>
      </c>
      <c r="L313" s="15">
        <v>-16.18</v>
      </c>
      <c r="M313" s="15">
        <v>1.65</v>
      </c>
      <c r="N313" s="15">
        <f t="shared" si="74"/>
        <v>-9.8060606060606066</v>
      </c>
      <c r="O313" s="22"/>
      <c r="P313" s="22"/>
      <c r="Q313" s="22"/>
      <c r="R313" s="22"/>
      <c r="S313" s="22"/>
    </row>
    <row r="314" spans="1:19" x14ac:dyDescent="0.15">
      <c r="A314" s="22"/>
      <c r="B314" s="22"/>
      <c r="C314" s="22"/>
      <c r="D314" s="22"/>
      <c r="E314" s="22"/>
      <c r="F314" s="22"/>
      <c r="G314" s="25"/>
      <c r="H314" s="15">
        <v>15</v>
      </c>
      <c r="I314" s="15">
        <v>16</v>
      </c>
      <c r="J314" s="15">
        <f t="shared" si="82"/>
        <v>9</v>
      </c>
      <c r="K314" s="15">
        <f t="shared" si="81"/>
        <v>10</v>
      </c>
      <c r="L314" s="15">
        <v>-25.97</v>
      </c>
      <c r="M314" s="15">
        <v>1.65</v>
      </c>
      <c r="N314" s="15">
        <f t="shared" si="74"/>
        <v>-15.73939393939394</v>
      </c>
      <c r="O314" s="22"/>
      <c r="P314" s="22"/>
      <c r="Q314" s="22"/>
      <c r="R314" s="22"/>
      <c r="S314" s="22"/>
    </row>
    <row r="315" spans="1:19" x14ac:dyDescent="0.15">
      <c r="A315" s="22"/>
      <c r="B315" s="22"/>
      <c r="C315" s="22"/>
      <c r="D315" s="22"/>
      <c r="E315" s="22"/>
      <c r="F315" s="22"/>
      <c r="G315" s="25"/>
      <c r="H315" s="15">
        <v>15</v>
      </c>
      <c r="I315" s="15">
        <v>16</v>
      </c>
      <c r="J315" s="15">
        <f t="shared" si="82"/>
        <v>10</v>
      </c>
      <c r="K315" s="15">
        <f t="shared" si="81"/>
        <v>11</v>
      </c>
      <c r="L315" s="15">
        <v>-40.42</v>
      </c>
      <c r="M315" s="15">
        <v>1.63</v>
      </c>
      <c r="N315" s="15">
        <f t="shared" si="74"/>
        <v>-24.79754601226994</v>
      </c>
      <c r="O315" s="22"/>
      <c r="P315" s="22"/>
      <c r="Q315" s="22"/>
      <c r="R315" s="22"/>
      <c r="S315" s="22"/>
    </row>
    <row r="316" spans="1:19" x14ac:dyDescent="0.15">
      <c r="A316" s="22"/>
      <c r="B316" s="22"/>
      <c r="C316" s="22"/>
      <c r="D316" s="22"/>
      <c r="E316" s="22"/>
      <c r="F316" s="22"/>
      <c r="G316" s="25"/>
      <c r="H316" s="15">
        <v>15</v>
      </c>
      <c r="I316" s="15">
        <v>16</v>
      </c>
      <c r="J316" s="15">
        <f t="shared" si="82"/>
        <v>11</v>
      </c>
      <c r="K316" s="15">
        <f t="shared" si="81"/>
        <v>12</v>
      </c>
      <c r="L316" s="15">
        <v>-79.040000000000006</v>
      </c>
      <c r="M316" s="15">
        <v>1.67</v>
      </c>
      <c r="N316" s="15">
        <f t="shared" si="74"/>
        <v>-47.329341317365277</v>
      </c>
      <c r="O316" s="22"/>
      <c r="P316" s="22"/>
      <c r="Q316" s="22"/>
      <c r="R316" s="22"/>
      <c r="S316" s="22"/>
    </row>
    <row r="317" spans="1:19" x14ac:dyDescent="0.15">
      <c r="A317" s="22"/>
      <c r="B317" s="22"/>
      <c r="C317" s="22"/>
      <c r="D317" s="22"/>
      <c r="E317" s="22"/>
      <c r="F317" s="22"/>
      <c r="G317" s="25"/>
      <c r="H317" s="15">
        <v>15</v>
      </c>
      <c r="I317" s="15">
        <v>16</v>
      </c>
      <c r="J317" s="15">
        <f t="shared" si="82"/>
        <v>12</v>
      </c>
      <c r="K317" s="15">
        <f t="shared" si="81"/>
        <v>13</v>
      </c>
      <c r="L317" s="15">
        <v>-189.32</v>
      </c>
      <c r="M317" s="15">
        <v>1.69</v>
      </c>
      <c r="N317" s="15">
        <f t="shared" si="74"/>
        <v>-112.02366863905326</v>
      </c>
      <c r="O317" s="22"/>
      <c r="P317" s="22"/>
      <c r="Q317" s="22"/>
      <c r="R317" s="22"/>
      <c r="S317" s="22"/>
    </row>
    <row r="318" spans="1:19" x14ac:dyDescent="0.15">
      <c r="A318" s="22"/>
      <c r="B318" s="22"/>
      <c r="C318" s="22"/>
      <c r="D318" s="22"/>
      <c r="E318" s="22"/>
      <c r="F318" s="22"/>
      <c r="G318" s="25"/>
      <c r="H318" s="15">
        <v>15</v>
      </c>
      <c r="I318" s="15">
        <v>16</v>
      </c>
      <c r="J318" s="15">
        <f t="shared" si="82"/>
        <v>13</v>
      </c>
      <c r="K318" s="15">
        <f t="shared" si="81"/>
        <v>14</v>
      </c>
      <c r="L318" s="15">
        <v>-763.49</v>
      </c>
      <c r="M318" s="15">
        <v>1.64</v>
      </c>
      <c r="N318" s="15">
        <f t="shared" si="74"/>
        <v>-465.54268292682929</v>
      </c>
      <c r="O318" s="22"/>
      <c r="P318" s="22"/>
      <c r="Q318" s="22"/>
      <c r="R318" s="22"/>
      <c r="S318" s="22"/>
    </row>
    <row r="319" spans="1:19" x14ac:dyDescent="0.15">
      <c r="A319" s="22"/>
      <c r="B319" s="22"/>
      <c r="C319" s="22"/>
      <c r="D319" s="22"/>
      <c r="E319" s="22"/>
      <c r="F319" s="22"/>
      <c r="G319" s="25"/>
      <c r="H319" s="15">
        <v>16</v>
      </c>
      <c r="I319" s="15">
        <v>17</v>
      </c>
      <c r="J319" s="15">
        <f>I319+1</f>
        <v>18</v>
      </c>
      <c r="K319" s="15">
        <f>J319+1</f>
        <v>19</v>
      </c>
      <c r="L319" s="15">
        <v>-523.94000000000005</v>
      </c>
      <c r="M319" s="15">
        <v>1.19</v>
      </c>
      <c r="N319" s="15">
        <f t="shared" si="74"/>
        <v>-440.28571428571433</v>
      </c>
      <c r="O319" s="22"/>
      <c r="P319" s="22"/>
      <c r="Q319" s="22"/>
      <c r="R319" s="22"/>
      <c r="S319" s="22"/>
    </row>
    <row r="320" spans="1:19" x14ac:dyDescent="0.15">
      <c r="A320" s="22"/>
      <c r="B320" s="22"/>
      <c r="C320" s="22"/>
      <c r="D320" s="22"/>
      <c r="E320" s="22"/>
      <c r="F320" s="22"/>
      <c r="G320" s="25"/>
      <c r="H320" s="15">
        <v>16</v>
      </c>
      <c r="I320" s="15">
        <v>17</v>
      </c>
      <c r="J320" s="15">
        <f t="shared" ref="J320:K324" si="83">J319+1</f>
        <v>19</v>
      </c>
      <c r="K320" s="15">
        <f t="shared" si="83"/>
        <v>20</v>
      </c>
      <c r="L320" s="15">
        <v>-113.32</v>
      </c>
      <c r="M320" s="15">
        <v>1.1599999999999999</v>
      </c>
      <c r="N320" s="15">
        <f t="shared" si="74"/>
        <v>-97.689655172413794</v>
      </c>
      <c r="O320" s="22"/>
      <c r="P320" s="22"/>
      <c r="Q320" s="22"/>
      <c r="R320" s="22"/>
      <c r="S320" s="22"/>
    </row>
    <row r="321" spans="1:19" x14ac:dyDescent="0.15">
      <c r="A321" s="22"/>
      <c r="B321" s="22"/>
      <c r="C321" s="22"/>
      <c r="D321" s="22"/>
      <c r="E321" s="22"/>
      <c r="F321" s="22"/>
      <c r="G321" s="25"/>
      <c r="H321" s="15">
        <v>16</v>
      </c>
      <c r="I321" s="15">
        <v>17</v>
      </c>
      <c r="J321" s="15">
        <f t="shared" si="83"/>
        <v>20</v>
      </c>
      <c r="K321" s="15">
        <f t="shared" si="83"/>
        <v>21</v>
      </c>
      <c r="L321" s="15">
        <v>-45.19</v>
      </c>
      <c r="M321" s="15">
        <v>1.1200000000000001</v>
      </c>
      <c r="N321" s="15">
        <f t="shared" si="74"/>
        <v>-40.348214285714278</v>
      </c>
      <c r="O321" s="22"/>
      <c r="P321" s="22"/>
      <c r="Q321" s="22"/>
      <c r="R321" s="22"/>
      <c r="S321" s="22"/>
    </row>
    <row r="322" spans="1:19" x14ac:dyDescent="0.15">
      <c r="A322" s="22"/>
      <c r="B322" s="22"/>
      <c r="C322" s="22"/>
      <c r="D322" s="22"/>
      <c r="E322" s="22"/>
      <c r="F322" s="22"/>
      <c r="G322" s="25"/>
      <c r="H322" s="15">
        <v>16</v>
      </c>
      <c r="I322" s="15">
        <v>17</v>
      </c>
      <c r="J322" s="15">
        <f t="shared" si="83"/>
        <v>21</v>
      </c>
      <c r="K322" s="15">
        <f t="shared" si="83"/>
        <v>22</v>
      </c>
      <c r="L322" s="15">
        <v>-24.01</v>
      </c>
      <c r="M322" s="15">
        <v>1.1000000000000001</v>
      </c>
      <c r="N322" s="15">
        <f t="shared" si="74"/>
        <v>-21.827272727272728</v>
      </c>
      <c r="O322" s="22"/>
      <c r="P322" s="22"/>
      <c r="Q322" s="22"/>
      <c r="R322" s="22"/>
      <c r="S322" s="22"/>
    </row>
    <row r="323" spans="1:19" x14ac:dyDescent="0.15">
      <c r="A323" s="22"/>
      <c r="B323" s="22"/>
      <c r="C323" s="22"/>
      <c r="D323" s="22"/>
      <c r="E323" s="22"/>
      <c r="F323" s="22"/>
      <c r="G323" s="25"/>
      <c r="H323" s="15">
        <v>16</v>
      </c>
      <c r="I323" s="15">
        <v>17</v>
      </c>
      <c r="J323" s="15">
        <f t="shared" si="83"/>
        <v>22</v>
      </c>
      <c r="K323" s="15">
        <f t="shared" si="83"/>
        <v>23</v>
      </c>
      <c r="L323" s="15">
        <v>-16.13</v>
      </c>
      <c r="M323" s="15">
        <v>1.23</v>
      </c>
      <c r="N323" s="15">
        <f t="shared" si="74"/>
        <v>-13.113821138211382</v>
      </c>
      <c r="O323" s="22"/>
      <c r="P323" s="22"/>
      <c r="Q323" s="22"/>
      <c r="R323" s="22"/>
      <c r="S323" s="22"/>
    </row>
    <row r="324" spans="1:19" x14ac:dyDescent="0.15">
      <c r="A324" s="22"/>
      <c r="B324" s="22"/>
      <c r="C324" s="22"/>
      <c r="D324" s="22"/>
      <c r="E324" s="22"/>
      <c r="F324" s="22"/>
      <c r="G324" s="25"/>
      <c r="H324" s="15">
        <v>16</v>
      </c>
      <c r="I324" s="15">
        <v>17</v>
      </c>
      <c r="J324" s="15">
        <f t="shared" si="83"/>
        <v>23</v>
      </c>
      <c r="K324" s="15">
        <f t="shared" si="83"/>
        <v>24</v>
      </c>
      <c r="L324" s="15">
        <v>-11.52</v>
      </c>
      <c r="M324" s="15">
        <v>1.24</v>
      </c>
      <c r="N324" s="15">
        <f t="shared" ref="N324:N387" si="84">L324/M324</f>
        <v>-9.2903225806451601</v>
      </c>
      <c r="O324" s="22"/>
      <c r="P324" s="22"/>
      <c r="Q324" s="22"/>
      <c r="R324" s="22"/>
      <c r="S324" s="22"/>
    </row>
    <row r="325" spans="1:19" x14ac:dyDescent="0.15">
      <c r="A325" s="22"/>
      <c r="B325" s="22"/>
      <c r="C325" s="22"/>
      <c r="D325" s="22"/>
      <c r="E325" s="22"/>
      <c r="F325" s="22"/>
      <c r="G325" s="25"/>
      <c r="H325" s="15">
        <v>16</v>
      </c>
      <c r="I325" s="15">
        <v>17</v>
      </c>
      <c r="J325" s="15">
        <f>J324+1</f>
        <v>24</v>
      </c>
      <c r="K325" s="15">
        <v>1</v>
      </c>
      <c r="L325" s="15">
        <v>-6.14</v>
      </c>
      <c r="M325" s="15">
        <v>1.22</v>
      </c>
      <c r="N325" s="15">
        <f t="shared" si="84"/>
        <v>-5.0327868852459012</v>
      </c>
      <c r="O325" s="22"/>
      <c r="P325" s="22"/>
      <c r="Q325" s="22"/>
      <c r="R325" s="22"/>
      <c r="S325" s="22"/>
    </row>
    <row r="326" spans="1:19" x14ac:dyDescent="0.15">
      <c r="A326" s="22"/>
      <c r="B326" s="22"/>
      <c r="C326" s="22"/>
      <c r="D326" s="22"/>
      <c r="E326" s="22"/>
      <c r="F326" s="22"/>
      <c r="G326" s="25"/>
      <c r="H326" s="15">
        <v>16</v>
      </c>
      <c r="I326" s="15">
        <v>17</v>
      </c>
      <c r="J326" s="15">
        <v>1</v>
      </c>
      <c r="K326" s="15">
        <f t="shared" ref="K326:K339" si="85">K325+1</f>
        <v>2</v>
      </c>
      <c r="L326" s="15">
        <v>-5.85</v>
      </c>
      <c r="M326" s="15">
        <v>1.23</v>
      </c>
      <c r="N326" s="15">
        <f t="shared" si="84"/>
        <v>-4.7560975609756095</v>
      </c>
      <c r="O326" s="22"/>
      <c r="P326" s="22"/>
      <c r="Q326" s="22"/>
      <c r="R326" s="22"/>
      <c r="S326" s="22"/>
    </row>
    <row r="327" spans="1:19" x14ac:dyDescent="0.15">
      <c r="A327" s="22"/>
      <c r="B327" s="22"/>
      <c r="C327" s="22"/>
      <c r="D327" s="22"/>
      <c r="E327" s="22"/>
      <c r="F327" s="22"/>
      <c r="G327" s="25"/>
      <c r="H327" s="15">
        <v>16</v>
      </c>
      <c r="I327" s="15">
        <v>17</v>
      </c>
      <c r="J327" s="15">
        <f t="shared" ref="J327:J339" si="86">J326+1</f>
        <v>2</v>
      </c>
      <c r="K327" s="15">
        <f t="shared" si="85"/>
        <v>3</v>
      </c>
      <c r="L327" s="15">
        <v>-3.65</v>
      </c>
      <c r="M327" s="15">
        <v>1.22</v>
      </c>
      <c r="N327" s="15">
        <f t="shared" si="84"/>
        <v>-2.9918032786885247</v>
      </c>
      <c r="O327" s="22"/>
      <c r="P327" s="22"/>
      <c r="Q327" s="22"/>
      <c r="R327" s="22"/>
      <c r="S327" s="22"/>
    </row>
    <row r="328" spans="1:19" x14ac:dyDescent="0.15">
      <c r="A328" s="22"/>
      <c r="B328" s="22"/>
      <c r="C328" s="22"/>
      <c r="D328" s="22"/>
      <c r="E328" s="22"/>
      <c r="F328" s="22"/>
      <c r="G328" s="25"/>
      <c r="H328" s="15">
        <v>16</v>
      </c>
      <c r="I328" s="15">
        <v>17</v>
      </c>
      <c r="J328" s="15">
        <f t="shared" si="86"/>
        <v>3</v>
      </c>
      <c r="K328" s="15">
        <f t="shared" si="85"/>
        <v>4</v>
      </c>
      <c r="L328" s="15">
        <v>-2.23</v>
      </c>
      <c r="M328" s="15">
        <v>1.21</v>
      </c>
      <c r="N328" s="15">
        <f t="shared" si="84"/>
        <v>-1.8429752066115703</v>
      </c>
      <c r="O328" s="22"/>
      <c r="P328" s="22"/>
      <c r="Q328" s="22"/>
      <c r="R328" s="22"/>
      <c r="S328" s="22"/>
    </row>
    <row r="329" spans="1:19" x14ac:dyDescent="0.15">
      <c r="A329" s="22"/>
      <c r="B329" s="22"/>
      <c r="C329" s="22"/>
      <c r="D329" s="22"/>
      <c r="E329" s="22"/>
      <c r="F329" s="22"/>
      <c r="G329" s="25"/>
      <c r="H329" s="15">
        <v>16</v>
      </c>
      <c r="I329" s="15">
        <v>17</v>
      </c>
      <c r="J329" s="15">
        <f t="shared" si="86"/>
        <v>4</v>
      </c>
      <c r="K329" s="15">
        <f t="shared" si="85"/>
        <v>5</v>
      </c>
      <c r="L329" s="15">
        <v>-2.2400000000000002</v>
      </c>
      <c r="M329" s="15">
        <v>1.21</v>
      </c>
      <c r="N329" s="15">
        <f t="shared" si="84"/>
        <v>-1.8512396694214879</v>
      </c>
      <c r="O329" s="22"/>
      <c r="P329" s="22"/>
      <c r="Q329" s="22"/>
      <c r="R329" s="22"/>
      <c r="S329" s="22"/>
    </row>
    <row r="330" spans="1:19" x14ac:dyDescent="0.15">
      <c r="A330" s="22"/>
      <c r="B330" s="22"/>
      <c r="C330" s="22"/>
      <c r="D330" s="22"/>
      <c r="E330" s="22"/>
      <c r="F330" s="22"/>
      <c r="G330" s="25"/>
      <c r="H330" s="15">
        <v>16</v>
      </c>
      <c r="I330" s="15">
        <v>17</v>
      </c>
      <c r="J330" s="15">
        <f t="shared" si="86"/>
        <v>5</v>
      </c>
      <c r="K330" s="15">
        <f t="shared" si="85"/>
        <v>6</v>
      </c>
      <c r="L330" s="15">
        <f>-3.58</f>
        <v>-3.58</v>
      </c>
      <c r="M330" s="15">
        <v>1.22</v>
      </c>
      <c r="N330" s="15">
        <f t="shared" si="84"/>
        <v>-2.9344262295081966</v>
      </c>
      <c r="O330" s="22"/>
      <c r="P330" s="22"/>
      <c r="Q330" s="22"/>
      <c r="R330" s="22"/>
      <c r="S330" s="22"/>
    </row>
    <row r="331" spans="1:19" x14ac:dyDescent="0.15">
      <c r="A331" s="22"/>
      <c r="B331" s="22"/>
      <c r="C331" s="22"/>
      <c r="D331" s="22"/>
      <c r="E331" s="22"/>
      <c r="F331" s="22"/>
      <c r="G331" s="25"/>
      <c r="H331" s="15">
        <v>16</v>
      </c>
      <c r="I331" s="15">
        <v>17</v>
      </c>
      <c r="J331" s="15">
        <f t="shared" si="86"/>
        <v>6</v>
      </c>
      <c r="K331" s="15">
        <f t="shared" si="85"/>
        <v>7</v>
      </c>
      <c r="L331" s="15">
        <v>-5.53</v>
      </c>
      <c r="M331" s="15">
        <v>1.25</v>
      </c>
      <c r="N331" s="15">
        <f t="shared" si="84"/>
        <v>-4.4240000000000004</v>
      </c>
      <c r="O331" s="22"/>
      <c r="P331" s="22"/>
      <c r="Q331" s="22"/>
      <c r="R331" s="22"/>
      <c r="S331" s="22"/>
    </row>
    <row r="332" spans="1:19" x14ac:dyDescent="0.15">
      <c r="A332" s="22"/>
      <c r="B332" s="22"/>
      <c r="C332" s="22"/>
      <c r="D332" s="22"/>
      <c r="E332" s="22"/>
      <c r="F332" s="22"/>
      <c r="G332" s="25"/>
      <c r="H332" s="15">
        <v>16</v>
      </c>
      <c r="I332" s="15">
        <v>17</v>
      </c>
      <c r="J332" s="15">
        <f t="shared" si="86"/>
        <v>7</v>
      </c>
      <c r="K332" s="15">
        <f t="shared" si="85"/>
        <v>8</v>
      </c>
      <c r="L332" s="15">
        <v>-5.21</v>
      </c>
      <c r="M332" s="15">
        <v>1.21</v>
      </c>
      <c r="N332" s="15">
        <f t="shared" si="84"/>
        <v>-4.3057851239669427</v>
      </c>
      <c r="O332" s="22"/>
      <c r="P332" s="22"/>
      <c r="Q332" s="22"/>
      <c r="R332" s="22"/>
      <c r="S332" s="22"/>
    </row>
    <row r="333" spans="1:19" x14ac:dyDescent="0.15">
      <c r="A333" s="22"/>
      <c r="B333" s="22"/>
      <c r="C333" s="22"/>
      <c r="D333" s="22"/>
      <c r="E333" s="22"/>
      <c r="F333" s="22"/>
      <c r="G333" s="25"/>
      <c r="H333" s="15">
        <v>16</v>
      </c>
      <c r="I333" s="15">
        <v>17</v>
      </c>
      <c r="J333" s="15">
        <f t="shared" si="86"/>
        <v>8</v>
      </c>
      <c r="K333" s="15">
        <f t="shared" si="85"/>
        <v>9</v>
      </c>
      <c r="L333" s="15">
        <v>-6.91</v>
      </c>
      <c r="M333" s="15">
        <v>1.23</v>
      </c>
      <c r="N333" s="15">
        <f t="shared" si="84"/>
        <v>-5.6178861788617889</v>
      </c>
      <c r="O333" s="22"/>
      <c r="P333" s="22"/>
      <c r="Q333" s="22"/>
      <c r="R333" s="22"/>
      <c r="S333" s="22"/>
    </row>
    <row r="334" spans="1:19" x14ac:dyDescent="0.15">
      <c r="A334" s="22"/>
      <c r="B334" s="22"/>
      <c r="C334" s="22"/>
      <c r="D334" s="22"/>
      <c r="E334" s="22"/>
      <c r="F334" s="22"/>
      <c r="G334" s="25"/>
      <c r="H334" s="15">
        <v>16</v>
      </c>
      <c r="I334" s="15">
        <v>17</v>
      </c>
      <c r="J334" s="15">
        <f t="shared" si="86"/>
        <v>9</v>
      </c>
      <c r="K334" s="15">
        <f t="shared" si="85"/>
        <v>10</v>
      </c>
      <c r="L334" s="15">
        <v>-10.5</v>
      </c>
      <c r="M334" s="15">
        <v>1.23</v>
      </c>
      <c r="N334" s="15">
        <f t="shared" si="84"/>
        <v>-8.536585365853659</v>
      </c>
      <c r="O334" s="22"/>
      <c r="P334" s="22"/>
      <c r="Q334" s="22"/>
      <c r="R334" s="22"/>
      <c r="S334" s="22"/>
    </row>
    <row r="335" spans="1:19" x14ac:dyDescent="0.15">
      <c r="A335" s="22"/>
      <c r="B335" s="22"/>
      <c r="C335" s="22"/>
      <c r="D335" s="22"/>
      <c r="E335" s="22"/>
      <c r="F335" s="22"/>
      <c r="G335" s="25"/>
      <c r="H335" s="15">
        <v>16</v>
      </c>
      <c r="I335" s="15">
        <v>17</v>
      </c>
      <c r="J335" s="15">
        <f t="shared" si="86"/>
        <v>10</v>
      </c>
      <c r="K335" s="15">
        <f t="shared" si="85"/>
        <v>11</v>
      </c>
      <c r="L335" s="15">
        <v>-14.54</v>
      </c>
      <c r="M335" s="15">
        <v>1.24</v>
      </c>
      <c r="N335" s="15">
        <f t="shared" si="84"/>
        <v>-11.725806451612902</v>
      </c>
      <c r="O335" s="22"/>
      <c r="P335" s="22"/>
      <c r="Q335" s="22"/>
      <c r="R335" s="22"/>
      <c r="S335" s="22"/>
    </row>
    <row r="336" spans="1:19" x14ac:dyDescent="0.15">
      <c r="A336" s="22"/>
      <c r="B336" s="22"/>
      <c r="C336" s="22"/>
      <c r="D336" s="22"/>
      <c r="E336" s="22"/>
      <c r="F336" s="22"/>
      <c r="G336" s="25"/>
      <c r="H336" s="15">
        <v>16</v>
      </c>
      <c r="I336" s="15">
        <v>17</v>
      </c>
      <c r="J336" s="15">
        <f t="shared" si="86"/>
        <v>11</v>
      </c>
      <c r="K336" s="15">
        <f t="shared" si="85"/>
        <v>12</v>
      </c>
      <c r="L336" s="15">
        <v>-27.12</v>
      </c>
      <c r="M336" s="15">
        <v>1.23</v>
      </c>
      <c r="N336" s="15">
        <f t="shared" si="84"/>
        <v>-22.04878048780488</v>
      </c>
      <c r="O336" s="22"/>
      <c r="P336" s="22"/>
      <c r="Q336" s="22"/>
      <c r="R336" s="22"/>
      <c r="S336" s="22"/>
    </row>
    <row r="337" spans="1:19" x14ac:dyDescent="0.15">
      <c r="A337" s="22"/>
      <c r="B337" s="22"/>
      <c r="C337" s="22"/>
      <c r="D337" s="22"/>
      <c r="E337" s="22"/>
      <c r="F337" s="22"/>
      <c r="G337" s="25"/>
      <c r="H337" s="15">
        <v>16</v>
      </c>
      <c r="I337" s="15">
        <v>17</v>
      </c>
      <c r="J337" s="15">
        <f t="shared" si="86"/>
        <v>12</v>
      </c>
      <c r="K337" s="15">
        <f t="shared" si="85"/>
        <v>13</v>
      </c>
      <c r="L337" s="15">
        <v>-51.92</v>
      </c>
      <c r="M337" s="15">
        <v>1.21</v>
      </c>
      <c r="N337" s="15">
        <f t="shared" si="84"/>
        <v>-42.909090909090914</v>
      </c>
      <c r="O337" s="22"/>
      <c r="P337" s="22"/>
      <c r="Q337" s="22"/>
      <c r="R337" s="22"/>
      <c r="S337" s="22"/>
    </row>
    <row r="338" spans="1:19" x14ac:dyDescent="0.15">
      <c r="A338" s="22"/>
      <c r="B338" s="22"/>
      <c r="C338" s="22"/>
      <c r="D338" s="22"/>
      <c r="E338" s="22"/>
      <c r="F338" s="22"/>
      <c r="G338" s="25"/>
      <c r="H338" s="15">
        <v>16</v>
      </c>
      <c r="I338" s="15">
        <v>17</v>
      </c>
      <c r="J338" s="15">
        <f t="shared" si="86"/>
        <v>13</v>
      </c>
      <c r="K338" s="15">
        <f t="shared" si="85"/>
        <v>14</v>
      </c>
      <c r="L338" s="15">
        <v>-133.30000000000001</v>
      </c>
      <c r="M338" s="15">
        <v>1.23</v>
      </c>
      <c r="N338" s="15">
        <f t="shared" si="84"/>
        <v>-108.37398373983741</v>
      </c>
      <c r="O338" s="22"/>
      <c r="P338" s="22"/>
      <c r="Q338" s="22"/>
      <c r="R338" s="22"/>
      <c r="S338" s="22"/>
    </row>
    <row r="339" spans="1:19" x14ac:dyDescent="0.15">
      <c r="A339" s="22"/>
      <c r="B339" s="22"/>
      <c r="C339" s="22"/>
      <c r="D339" s="22"/>
      <c r="E339" s="22"/>
      <c r="F339" s="22"/>
      <c r="G339" s="25"/>
      <c r="H339" s="15">
        <v>16</v>
      </c>
      <c r="I339" s="15">
        <v>17</v>
      </c>
      <c r="J339" s="15">
        <f t="shared" si="86"/>
        <v>14</v>
      </c>
      <c r="K339" s="15">
        <f t="shared" si="85"/>
        <v>15</v>
      </c>
      <c r="L339" s="15">
        <v>-457.1</v>
      </c>
      <c r="M339" s="15">
        <v>1.21</v>
      </c>
      <c r="N339" s="15">
        <f t="shared" si="84"/>
        <v>-377.76859504132233</v>
      </c>
      <c r="O339" s="22"/>
      <c r="P339" s="22"/>
      <c r="Q339" s="22"/>
      <c r="R339" s="22"/>
      <c r="S339" s="22"/>
    </row>
    <row r="340" spans="1:19" x14ac:dyDescent="0.15">
      <c r="A340" s="22"/>
      <c r="B340" s="22"/>
      <c r="C340" s="22"/>
      <c r="D340" s="22"/>
      <c r="E340" s="22"/>
      <c r="F340" s="22"/>
      <c r="G340" s="25"/>
      <c r="H340" s="15">
        <v>17</v>
      </c>
      <c r="I340" s="15">
        <v>18</v>
      </c>
      <c r="J340" s="15">
        <f>I340+1</f>
        <v>19</v>
      </c>
      <c r="K340" s="15">
        <f>J340+1</f>
        <v>20</v>
      </c>
      <c r="L340" s="15">
        <v>-355.61</v>
      </c>
      <c r="M340" s="15">
        <v>1.08</v>
      </c>
      <c r="N340" s="15">
        <f t="shared" si="84"/>
        <v>-329.26851851851853</v>
      </c>
      <c r="O340" s="22"/>
      <c r="P340" s="22"/>
      <c r="Q340" s="22"/>
      <c r="R340" s="22"/>
      <c r="S340" s="22"/>
    </row>
    <row r="341" spans="1:19" x14ac:dyDescent="0.15">
      <c r="A341" s="22"/>
      <c r="B341" s="22"/>
      <c r="C341" s="22"/>
      <c r="D341" s="22"/>
      <c r="E341" s="22"/>
      <c r="F341" s="22"/>
      <c r="G341" s="25"/>
      <c r="H341" s="15">
        <v>17</v>
      </c>
      <c r="I341" s="15">
        <v>18</v>
      </c>
      <c r="J341" s="15">
        <f t="shared" ref="J341:K344" si="87">J340+1</f>
        <v>20</v>
      </c>
      <c r="K341" s="15">
        <f t="shared" si="87"/>
        <v>21</v>
      </c>
      <c r="L341" s="15">
        <v>-98.89</v>
      </c>
      <c r="M341" s="15">
        <v>1.07</v>
      </c>
      <c r="N341" s="15">
        <f t="shared" si="84"/>
        <v>-92.420560747663544</v>
      </c>
      <c r="O341" s="22"/>
      <c r="P341" s="22"/>
      <c r="Q341" s="22"/>
      <c r="R341" s="22"/>
      <c r="S341" s="22"/>
    </row>
    <row r="342" spans="1:19" x14ac:dyDescent="0.15">
      <c r="A342" s="22"/>
      <c r="B342" s="22"/>
      <c r="C342" s="22"/>
      <c r="D342" s="22"/>
      <c r="E342" s="22"/>
      <c r="F342" s="22"/>
      <c r="G342" s="25"/>
      <c r="H342" s="15">
        <v>17</v>
      </c>
      <c r="I342" s="15">
        <v>18</v>
      </c>
      <c r="J342" s="15">
        <f t="shared" si="87"/>
        <v>21</v>
      </c>
      <c r="K342" s="15">
        <f t="shared" si="87"/>
        <v>22</v>
      </c>
      <c r="L342" s="15">
        <v>-45.68</v>
      </c>
      <c r="M342" s="15">
        <v>1.08</v>
      </c>
      <c r="N342" s="15">
        <f t="shared" si="84"/>
        <v>-42.296296296296291</v>
      </c>
      <c r="O342" s="22"/>
      <c r="P342" s="22"/>
      <c r="Q342" s="22"/>
      <c r="R342" s="22"/>
      <c r="S342" s="22"/>
    </row>
    <row r="343" spans="1:19" x14ac:dyDescent="0.15">
      <c r="A343" s="22"/>
      <c r="B343" s="22"/>
      <c r="C343" s="22"/>
      <c r="D343" s="22"/>
      <c r="E343" s="22"/>
      <c r="F343" s="22"/>
      <c r="G343" s="25"/>
      <c r="H343" s="15">
        <v>17</v>
      </c>
      <c r="I343" s="15">
        <v>18</v>
      </c>
      <c r="J343" s="15">
        <f t="shared" si="87"/>
        <v>22</v>
      </c>
      <c r="K343" s="15">
        <f t="shared" si="87"/>
        <v>23</v>
      </c>
      <c r="L343" s="15">
        <v>-28.98</v>
      </c>
      <c r="M343" s="15">
        <v>1.22</v>
      </c>
      <c r="N343" s="15">
        <f t="shared" si="84"/>
        <v>-23.754098360655739</v>
      </c>
      <c r="O343" s="22"/>
      <c r="P343" s="22"/>
      <c r="Q343" s="22"/>
      <c r="R343" s="22"/>
      <c r="S343" s="22"/>
    </row>
    <row r="344" spans="1:19" x14ac:dyDescent="0.15">
      <c r="A344" s="22"/>
      <c r="B344" s="22"/>
      <c r="C344" s="22"/>
      <c r="D344" s="22"/>
      <c r="E344" s="22"/>
      <c r="F344" s="22"/>
      <c r="G344" s="25"/>
      <c r="H344" s="15">
        <v>17</v>
      </c>
      <c r="I344" s="15">
        <v>18</v>
      </c>
      <c r="J344" s="15">
        <f t="shared" si="87"/>
        <v>23</v>
      </c>
      <c r="K344" s="15">
        <f t="shared" si="87"/>
        <v>24</v>
      </c>
      <c r="L344" s="15">
        <v>-20.48</v>
      </c>
      <c r="M344" s="15">
        <v>1.22</v>
      </c>
      <c r="N344" s="15">
        <f t="shared" si="84"/>
        <v>-16.78688524590164</v>
      </c>
      <c r="O344" s="22"/>
      <c r="P344" s="22"/>
      <c r="Q344" s="22"/>
      <c r="R344" s="22"/>
      <c r="S344" s="22"/>
    </row>
    <row r="345" spans="1:19" x14ac:dyDescent="0.15">
      <c r="A345" s="22"/>
      <c r="B345" s="22"/>
      <c r="C345" s="22"/>
      <c r="D345" s="22"/>
      <c r="E345" s="22"/>
      <c r="F345" s="22"/>
      <c r="G345" s="25"/>
      <c r="H345" s="15">
        <v>17</v>
      </c>
      <c r="I345" s="15">
        <v>18</v>
      </c>
      <c r="J345" s="15">
        <f>J344+1</f>
        <v>24</v>
      </c>
      <c r="K345" s="15">
        <v>1</v>
      </c>
      <c r="L345" s="15">
        <v>-18.8</v>
      </c>
      <c r="M345" s="15">
        <v>1.2</v>
      </c>
      <c r="N345" s="15">
        <f t="shared" si="84"/>
        <v>-15.666666666666668</v>
      </c>
      <c r="O345" s="22"/>
      <c r="P345" s="22"/>
      <c r="Q345" s="22"/>
      <c r="R345" s="22"/>
      <c r="S345" s="22"/>
    </row>
    <row r="346" spans="1:19" x14ac:dyDescent="0.15">
      <c r="A346" s="22"/>
      <c r="B346" s="22"/>
      <c r="C346" s="22"/>
      <c r="D346" s="22"/>
      <c r="E346" s="22"/>
      <c r="F346" s="22"/>
      <c r="G346" s="25"/>
      <c r="H346" s="15">
        <v>17</v>
      </c>
      <c r="I346" s="15">
        <v>18</v>
      </c>
      <c r="J346" s="15">
        <v>1</v>
      </c>
      <c r="K346" s="15">
        <f t="shared" ref="K346:K360" si="88">K345+1</f>
        <v>2</v>
      </c>
      <c r="L346" s="15">
        <v>-17.940000000000001</v>
      </c>
      <c r="M346" s="15">
        <v>1.23</v>
      </c>
      <c r="N346" s="15">
        <f t="shared" si="84"/>
        <v>-14.585365853658537</v>
      </c>
      <c r="O346" s="22"/>
      <c r="P346" s="22"/>
      <c r="Q346" s="22"/>
      <c r="R346" s="22"/>
      <c r="S346" s="22"/>
    </row>
    <row r="347" spans="1:19" x14ac:dyDescent="0.15">
      <c r="A347" s="22"/>
      <c r="B347" s="22"/>
      <c r="C347" s="22"/>
      <c r="D347" s="22"/>
      <c r="E347" s="22"/>
      <c r="F347" s="22"/>
      <c r="G347" s="25"/>
      <c r="H347" s="15">
        <v>17</v>
      </c>
      <c r="I347" s="15">
        <v>18</v>
      </c>
      <c r="J347" s="15">
        <f t="shared" ref="J347:J360" si="89">J346+1</f>
        <v>2</v>
      </c>
      <c r="K347" s="15">
        <f t="shared" si="88"/>
        <v>3</v>
      </c>
      <c r="L347" s="15">
        <v>-9.2899999999999991</v>
      </c>
      <c r="M347" s="15">
        <v>1.21</v>
      </c>
      <c r="N347" s="15">
        <f t="shared" si="84"/>
        <v>-7.6776859504132231</v>
      </c>
      <c r="O347" s="22"/>
      <c r="P347" s="22"/>
      <c r="Q347" s="22"/>
      <c r="R347" s="22"/>
      <c r="S347" s="22"/>
    </row>
    <row r="348" spans="1:19" x14ac:dyDescent="0.15">
      <c r="A348" s="22"/>
      <c r="B348" s="22"/>
      <c r="C348" s="22"/>
      <c r="D348" s="22"/>
      <c r="E348" s="22"/>
      <c r="F348" s="22"/>
      <c r="G348" s="25"/>
      <c r="H348" s="15">
        <v>17</v>
      </c>
      <c r="I348" s="15">
        <v>18</v>
      </c>
      <c r="J348" s="15">
        <f t="shared" si="89"/>
        <v>3</v>
      </c>
      <c r="K348" s="15">
        <f t="shared" si="88"/>
        <v>4</v>
      </c>
      <c r="L348" s="15">
        <v>-12.44</v>
      </c>
      <c r="M348" s="15">
        <v>1.22</v>
      </c>
      <c r="N348" s="15">
        <f t="shared" si="84"/>
        <v>-10.196721311475409</v>
      </c>
      <c r="O348" s="22"/>
      <c r="P348" s="22"/>
      <c r="Q348" s="22"/>
      <c r="R348" s="22"/>
      <c r="S348" s="22"/>
    </row>
    <row r="349" spans="1:19" x14ac:dyDescent="0.15">
      <c r="A349" s="22"/>
      <c r="B349" s="22"/>
      <c r="C349" s="22"/>
      <c r="D349" s="22"/>
      <c r="E349" s="22"/>
      <c r="F349" s="22"/>
      <c r="G349" s="25"/>
      <c r="H349" s="15">
        <v>17</v>
      </c>
      <c r="I349" s="15">
        <v>18</v>
      </c>
      <c r="J349" s="15">
        <f t="shared" si="89"/>
        <v>4</v>
      </c>
      <c r="K349" s="15">
        <f t="shared" si="88"/>
        <v>5</v>
      </c>
      <c r="L349" s="15">
        <v>-8.58</v>
      </c>
      <c r="M349" s="15">
        <v>1.21</v>
      </c>
      <c r="N349" s="15">
        <f t="shared" si="84"/>
        <v>-7.0909090909090908</v>
      </c>
      <c r="O349" s="22"/>
      <c r="P349" s="22"/>
      <c r="Q349" s="22"/>
      <c r="R349" s="22"/>
      <c r="S349" s="22"/>
    </row>
    <row r="350" spans="1:19" x14ac:dyDescent="0.15">
      <c r="A350" s="22"/>
      <c r="B350" s="22"/>
      <c r="C350" s="22"/>
      <c r="D350" s="22"/>
      <c r="E350" s="22"/>
      <c r="F350" s="22"/>
      <c r="G350" s="25"/>
      <c r="H350" s="15">
        <v>17</v>
      </c>
      <c r="I350" s="15">
        <v>18</v>
      </c>
      <c r="J350" s="15">
        <f t="shared" si="89"/>
        <v>5</v>
      </c>
      <c r="K350" s="15">
        <f t="shared" si="88"/>
        <v>6</v>
      </c>
      <c r="L350" s="15">
        <v>-8.64</v>
      </c>
      <c r="M350" s="15">
        <v>1.23</v>
      </c>
      <c r="N350" s="15">
        <f t="shared" si="84"/>
        <v>-7.0243902439024399</v>
      </c>
      <c r="O350" s="22"/>
      <c r="P350" s="22"/>
      <c r="Q350" s="22"/>
      <c r="R350" s="22"/>
      <c r="S350" s="22"/>
    </row>
    <row r="351" spans="1:19" x14ac:dyDescent="0.15">
      <c r="A351" s="22"/>
      <c r="B351" s="22"/>
      <c r="C351" s="22"/>
      <c r="D351" s="22"/>
      <c r="E351" s="22"/>
      <c r="F351" s="22"/>
      <c r="G351" s="25"/>
      <c r="H351" s="15">
        <v>17</v>
      </c>
      <c r="I351" s="15">
        <v>18</v>
      </c>
      <c r="J351" s="15">
        <f t="shared" si="89"/>
        <v>6</v>
      </c>
      <c r="K351" s="15">
        <f t="shared" si="88"/>
        <v>7</v>
      </c>
      <c r="L351" s="15">
        <v>-8.17</v>
      </c>
      <c r="M351" s="15">
        <v>1.23</v>
      </c>
      <c r="N351" s="15">
        <f t="shared" si="84"/>
        <v>-6.6422764227642279</v>
      </c>
      <c r="O351" s="22"/>
      <c r="P351" s="22"/>
      <c r="Q351" s="22"/>
      <c r="R351" s="22"/>
      <c r="S351" s="22"/>
    </row>
    <row r="352" spans="1:19" x14ac:dyDescent="0.15">
      <c r="A352" s="22"/>
      <c r="B352" s="22"/>
      <c r="C352" s="22"/>
      <c r="D352" s="22"/>
      <c r="E352" s="22"/>
      <c r="F352" s="22"/>
      <c r="G352" s="25"/>
      <c r="H352" s="15">
        <v>17</v>
      </c>
      <c r="I352" s="15">
        <v>18</v>
      </c>
      <c r="J352" s="15">
        <f t="shared" si="89"/>
        <v>7</v>
      </c>
      <c r="K352" s="15">
        <f t="shared" si="88"/>
        <v>8</v>
      </c>
      <c r="L352" s="15">
        <v>-10.17</v>
      </c>
      <c r="M352" s="15">
        <v>1.21</v>
      </c>
      <c r="N352" s="15">
        <f t="shared" si="84"/>
        <v>-8.4049586776859506</v>
      </c>
      <c r="O352" s="22"/>
      <c r="P352" s="22"/>
      <c r="Q352" s="22"/>
      <c r="R352" s="22"/>
      <c r="S352" s="22"/>
    </row>
    <row r="353" spans="1:19" x14ac:dyDescent="0.15">
      <c r="A353" s="22"/>
      <c r="B353" s="22"/>
      <c r="C353" s="22"/>
      <c r="D353" s="22"/>
      <c r="E353" s="22"/>
      <c r="F353" s="22"/>
      <c r="G353" s="25"/>
      <c r="H353" s="15">
        <v>17</v>
      </c>
      <c r="I353" s="15">
        <v>18</v>
      </c>
      <c r="J353" s="15">
        <f t="shared" si="89"/>
        <v>8</v>
      </c>
      <c r="K353" s="15">
        <f t="shared" si="88"/>
        <v>9</v>
      </c>
      <c r="L353" s="15">
        <v>-9.14</v>
      </c>
      <c r="M353" s="15">
        <v>1.25</v>
      </c>
      <c r="N353" s="15">
        <f t="shared" si="84"/>
        <v>-7.3120000000000003</v>
      </c>
      <c r="O353" s="22"/>
      <c r="P353" s="22"/>
      <c r="Q353" s="22"/>
      <c r="R353" s="22"/>
      <c r="S353" s="22"/>
    </row>
    <row r="354" spans="1:19" x14ac:dyDescent="0.15">
      <c r="A354" s="22"/>
      <c r="B354" s="22"/>
      <c r="C354" s="22"/>
      <c r="D354" s="22"/>
      <c r="E354" s="22"/>
      <c r="F354" s="22"/>
      <c r="G354" s="25"/>
      <c r="H354" s="15">
        <v>17</v>
      </c>
      <c r="I354" s="15">
        <v>18</v>
      </c>
      <c r="J354" s="15">
        <f t="shared" si="89"/>
        <v>9</v>
      </c>
      <c r="K354" s="15">
        <f t="shared" si="88"/>
        <v>10</v>
      </c>
      <c r="L354" s="15">
        <v>-11.22</v>
      </c>
      <c r="M354" s="15">
        <v>1.23</v>
      </c>
      <c r="N354" s="15">
        <f t="shared" si="84"/>
        <v>-9.1219512195121961</v>
      </c>
      <c r="O354" s="22"/>
      <c r="P354" s="22"/>
      <c r="Q354" s="22"/>
      <c r="R354" s="22"/>
      <c r="S354" s="22"/>
    </row>
    <row r="355" spans="1:19" x14ac:dyDescent="0.15">
      <c r="A355" s="22"/>
      <c r="B355" s="22"/>
      <c r="C355" s="22"/>
      <c r="D355" s="22"/>
      <c r="E355" s="22"/>
      <c r="F355" s="22"/>
      <c r="G355" s="25"/>
      <c r="H355" s="15">
        <v>17</v>
      </c>
      <c r="I355" s="15">
        <v>18</v>
      </c>
      <c r="J355" s="15">
        <f t="shared" si="89"/>
        <v>10</v>
      </c>
      <c r="K355" s="15">
        <f t="shared" si="88"/>
        <v>11</v>
      </c>
      <c r="L355" s="15">
        <v>-14.77</v>
      </c>
      <c r="M355" s="15">
        <v>1.23</v>
      </c>
      <c r="N355" s="15">
        <f t="shared" si="84"/>
        <v>-12.008130081300813</v>
      </c>
      <c r="O355" s="22"/>
      <c r="P355" s="22"/>
      <c r="Q355" s="22"/>
      <c r="R355" s="22"/>
      <c r="S355" s="22"/>
    </row>
    <row r="356" spans="1:19" x14ac:dyDescent="0.15">
      <c r="A356" s="22"/>
      <c r="B356" s="22"/>
      <c r="C356" s="22"/>
      <c r="D356" s="22"/>
      <c r="E356" s="22"/>
      <c r="F356" s="22"/>
      <c r="G356" s="25"/>
      <c r="H356" s="15">
        <v>17</v>
      </c>
      <c r="I356" s="15">
        <v>18</v>
      </c>
      <c r="J356" s="15">
        <f t="shared" si="89"/>
        <v>11</v>
      </c>
      <c r="K356" s="15">
        <f t="shared" si="88"/>
        <v>12</v>
      </c>
      <c r="L356" s="15">
        <v>-19.53</v>
      </c>
      <c r="M356" s="15">
        <v>1.21</v>
      </c>
      <c r="N356" s="15">
        <f t="shared" si="84"/>
        <v>-16.140495867768596</v>
      </c>
      <c r="O356" s="22"/>
      <c r="P356" s="22"/>
      <c r="Q356" s="22"/>
      <c r="R356" s="22"/>
      <c r="S356" s="22"/>
    </row>
    <row r="357" spans="1:19" x14ac:dyDescent="0.15">
      <c r="A357" s="22"/>
      <c r="B357" s="22"/>
      <c r="C357" s="22"/>
      <c r="D357" s="22"/>
      <c r="E357" s="22"/>
      <c r="F357" s="22"/>
      <c r="G357" s="25"/>
      <c r="H357" s="15">
        <v>17</v>
      </c>
      <c r="I357" s="15">
        <v>18</v>
      </c>
      <c r="J357" s="15">
        <f t="shared" si="89"/>
        <v>12</v>
      </c>
      <c r="K357" s="15">
        <f t="shared" si="88"/>
        <v>13</v>
      </c>
      <c r="L357" s="15">
        <v>-27.75</v>
      </c>
      <c r="M357" s="15">
        <v>1.21</v>
      </c>
      <c r="N357" s="15">
        <f t="shared" si="84"/>
        <v>-22.933884297520663</v>
      </c>
      <c r="O357" s="22"/>
      <c r="P357" s="22"/>
      <c r="Q357" s="22"/>
      <c r="R357" s="22"/>
      <c r="S357" s="22"/>
    </row>
    <row r="358" spans="1:19" x14ac:dyDescent="0.15">
      <c r="A358" s="22"/>
      <c r="B358" s="22"/>
      <c r="C358" s="22"/>
      <c r="D358" s="22"/>
      <c r="E358" s="22"/>
      <c r="F358" s="22"/>
      <c r="G358" s="25"/>
      <c r="H358" s="15">
        <v>17</v>
      </c>
      <c r="I358" s="15">
        <v>18</v>
      </c>
      <c r="J358" s="15">
        <f t="shared" si="89"/>
        <v>13</v>
      </c>
      <c r="K358" s="15">
        <f t="shared" si="88"/>
        <v>14</v>
      </c>
      <c r="L358" s="15">
        <v>-57.83</v>
      </c>
      <c r="M358" s="15">
        <v>1.22</v>
      </c>
      <c r="N358" s="15">
        <f t="shared" si="84"/>
        <v>-47.401639344262293</v>
      </c>
      <c r="O358" s="22"/>
      <c r="P358" s="22"/>
      <c r="Q358" s="22"/>
      <c r="R358" s="22"/>
      <c r="S358" s="22"/>
    </row>
    <row r="359" spans="1:19" x14ac:dyDescent="0.15">
      <c r="A359" s="22"/>
      <c r="B359" s="22"/>
      <c r="C359" s="22"/>
      <c r="D359" s="22"/>
      <c r="E359" s="22"/>
      <c r="F359" s="22"/>
      <c r="G359" s="25"/>
      <c r="H359" s="15">
        <v>17</v>
      </c>
      <c r="I359" s="15">
        <v>18</v>
      </c>
      <c r="J359" s="15">
        <f t="shared" si="89"/>
        <v>14</v>
      </c>
      <c r="K359" s="15">
        <f t="shared" si="88"/>
        <v>15</v>
      </c>
      <c r="L359" s="15">
        <v>-116.04</v>
      </c>
      <c r="M359" s="15">
        <v>1.2</v>
      </c>
      <c r="N359" s="15">
        <f t="shared" si="84"/>
        <v>-96.7</v>
      </c>
      <c r="O359" s="22"/>
      <c r="P359" s="22"/>
      <c r="Q359" s="22"/>
      <c r="R359" s="22"/>
      <c r="S359" s="22"/>
    </row>
    <row r="360" spans="1:19" x14ac:dyDescent="0.15">
      <c r="A360" s="22"/>
      <c r="B360" s="22"/>
      <c r="C360" s="22"/>
      <c r="D360" s="22"/>
      <c r="E360" s="22"/>
      <c r="F360" s="22"/>
      <c r="G360" s="25"/>
      <c r="H360" s="15">
        <v>17</v>
      </c>
      <c r="I360" s="15">
        <v>18</v>
      </c>
      <c r="J360" s="15">
        <f t="shared" si="89"/>
        <v>15</v>
      </c>
      <c r="K360" s="15">
        <f t="shared" si="88"/>
        <v>16</v>
      </c>
      <c r="L360" s="15">
        <v>-472.28</v>
      </c>
      <c r="M360" s="15">
        <v>1.22</v>
      </c>
      <c r="N360" s="15">
        <f t="shared" si="84"/>
        <v>-387.11475409836066</v>
      </c>
      <c r="O360" s="25"/>
      <c r="P360" s="22"/>
      <c r="Q360" s="22"/>
      <c r="R360" s="22"/>
      <c r="S360" s="22"/>
    </row>
    <row r="361" spans="1:19" x14ac:dyDescent="0.15">
      <c r="A361" s="22"/>
      <c r="B361" s="22"/>
      <c r="C361" s="22"/>
      <c r="D361" s="22"/>
      <c r="E361" s="22"/>
      <c r="F361" s="22"/>
      <c r="G361" s="25"/>
      <c r="H361" s="15">
        <v>18</v>
      </c>
      <c r="I361" s="15">
        <v>19</v>
      </c>
      <c r="J361" s="15">
        <f>I361+1</f>
        <v>20</v>
      </c>
      <c r="K361" s="15">
        <f>J361+1</f>
        <v>21</v>
      </c>
      <c r="L361" s="15">
        <v>-656.42</v>
      </c>
      <c r="M361" s="15">
        <v>1.55</v>
      </c>
      <c r="N361" s="15">
        <f t="shared" si="84"/>
        <v>-423.49677419354833</v>
      </c>
      <c r="O361" s="22"/>
      <c r="P361" s="22"/>
      <c r="Q361" s="22"/>
      <c r="R361" s="22"/>
      <c r="S361" s="22"/>
    </row>
    <row r="362" spans="1:19" x14ac:dyDescent="0.15">
      <c r="A362" s="22"/>
      <c r="B362" s="22"/>
      <c r="C362" s="22"/>
      <c r="D362" s="22"/>
      <c r="E362" s="22"/>
      <c r="F362" s="22"/>
      <c r="G362" s="25"/>
      <c r="H362" s="15">
        <v>18</v>
      </c>
      <c r="I362" s="15">
        <v>19</v>
      </c>
      <c r="J362" s="15">
        <f t="shared" ref="J362:K364" si="90">J361+1</f>
        <v>21</v>
      </c>
      <c r="K362" s="15">
        <f t="shared" si="90"/>
        <v>22</v>
      </c>
      <c r="L362" s="15">
        <v>-174.27</v>
      </c>
      <c r="M362" s="15">
        <v>1.56</v>
      </c>
      <c r="N362" s="15">
        <f t="shared" si="84"/>
        <v>-111.71153846153847</v>
      </c>
      <c r="O362" s="22"/>
      <c r="P362" s="22"/>
      <c r="Q362" s="22"/>
      <c r="R362" s="22"/>
      <c r="S362" s="22"/>
    </row>
    <row r="363" spans="1:19" x14ac:dyDescent="0.15">
      <c r="A363" s="22"/>
      <c r="B363" s="22"/>
      <c r="C363" s="22"/>
      <c r="D363" s="22"/>
      <c r="E363" s="22"/>
      <c r="F363" s="22"/>
      <c r="G363" s="25"/>
      <c r="H363" s="15">
        <v>18</v>
      </c>
      <c r="I363" s="15">
        <v>19</v>
      </c>
      <c r="J363" s="15">
        <f t="shared" si="90"/>
        <v>22</v>
      </c>
      <c r="K363" s="15">
        <f t="shared" si="90"/>
        <v>23</v>
      </c>
      <c r="L363" s="15">
        <v>-77.73</v>
      </c>
      <c r="M363" s="15">
        <v>1.64</v>
      </c>
      <c r="N363" s="15">
        <f t="shared" si="84"/>
        <v>-47.396341463414636</v>
      </c>
      <c r="O363" s="22"/>
      <c r="P363" s="22"/>
      <c r="Q363" s="22"/>
      <c r="R363" s="22"/>
      <c r="S363" s="22"/>
    </row>
    <row r="364" spans="1:19" x14ac:dyDescent="0.15">
      <c r="A364" s="22"/>
      <c r="B364" s="22"/>
      <c r="C364" s="22"/>
      <c r="D364" s="22"/>
      <c r="E364" s="22"/>
      <c r="F364" s="22"/>
      <c r="G364" s="25"/>
      <c r="H364" s="15">
        <v>18</v>
      </c>
      <c r="I364" s="15">
        <v>19</v>
      </c>
      <c r="J364" s="15">
        <f t="shared" si="90"/>
        <v>23</v>
      </c>
      <c r="K364" s="15">
        <f t="shared" si="90"/>
        <v>24</v>
      </c>
      <c r="L364" s="15">
        <v>-41.63</v>
      </c>
      <c r="M364" s="15">
        <v>1.6</v>
      </c>
      <c r="N364" s="15">
        <f t="shared" si="84"/>
        <v>-26.018750000000001</v>
      </c>
      <c r="O364" s="22"/>
      <c r="P364" s="22"/>
      <c r="Q364" s="22"/>
      <c r="R364" s="22"/>
      <c r="S364" s="22"/>
    </row>
    <row r="365" spans="1:19" x14ac:dyDescent="0.15">
      <c r="A365" s="22"/>
      <c r="B365" s="22"/>
      <c r="C365" s="22"/>
      <c r="D365" s="22"/>
      <c r="E365" s="22"/>
      <c r="F365" s="22"/>
      <c r="G365" s="25"/>
      <c r="H365" s="15">
        <v>18</v>
      </c>
      <c r="I365" s="15">
        <v>19</v>
      </c>
      <c r="J365" s="15">
        <f>J364+1</f>
        <v>24</v>
      </c>
      <c r="K365" s="15">
        <v>1</v>
      </c>
      <c r="L365" s="15">
        <v>-24.46</v>
      </c>
      <c r="M365" s="15">
        <v>1.6</v>
      </c>
      <c r="N365" s="15">
        <f t="shared" si="84"/>
        <v>-15.2875</v>
      </c>
      <c r="O365" s="22"/>
      <c r="P365" s="22"/>
      <c r="Q365" s="22"/>
      <c r="R365" s="22"/>
      <c r="S365" s="22"/>
    </row>
    <row r="366" spans="1:19" x14ac:dyDescent="0.15">
      <c r="A366" s="22"/>
      <c r="B366" s="22"/>
      <c r="C366" s="22"/>
      <c r="D366" s="22"/>
      <c r="E366" s="22"/>
      <c r="F366" s="22"/>
      <c r="G366" s="25"/>
      <c r="H366" s="15">
        <v>18</v>
      </c>
      <c r="I366" s="15">
        <v>19</v>
      </c>
      <c r="J366" s="15">
        <v>1</v>
      </c>
      <c r="K366" s="15">
        <f t="shared" ref="K366:K381" si="91">K365+1</f>
        <v>2</v>
      </c>
      <c r="L366" s="15">
        <v>-22.35</v>
      </c>
      <c r="M366" s="15">
        <v>1.59</v>
      </c>
      <c r="N366" s="15">
        <f t="shared" si="84"/>
        <v>-14.056603773584905</v>
      </c>
      <c r="O366" s="22"/>
      <c r="P366" s="22"/>
      <c r="Q366" s="22"/>
      <c r="R366" s="22"/>
      <c r="S366" s="22"/>
    </row>
    <row r="367" spans="1:19" x14ac:dyDescent="0.15">
      <c r="A367" s="22"/>
      <c r="B367" s="22"/>
      <c r="C367" s="22"/>
      <c r="D367" s="22"/>
      <c r="E367" s="22"/>
      <c r="F367" s="22"/>
      <c r="G367" s="25"/>
      <c r="H367" s="15">
        <v>18</v>
      </c>
      <c r="I367" s="15">
        <v>19</v>
      </c>
      <c r="J367" s="15">
        <f t="shared" ref="J367:J381" si="92">J366+1</f>
        <v>2</v>
      </c>
      <c r="K367" s="15">
        <f t="shared" si="91"/>
        <v>3</v>
      </c>
      <c r="L367" s="15">
        <v>-14.14</v>
      </c>
      <c r="M367" s="15">
        <v>1.6</v>
      </c>
      <c r="N367" s="15">
        <f t="shared" si="84"/>
        <v>-8.8375000000000004</v>
      </c>
      <c r="O367" s="22"/>
      <c r="P367" s="22"/>
      <c r="Q367" s="22"/>
      <c r="R367" s="22"/>
      <c r="S367" s="22"/>
    </row>
    <row r="368" spans="1:19" x14ac:dyDescent="0.15">
      <c r="A368" s="22"/>
      <c r="B368" s="22"/>
      <c r="C368" s="22"/>
      <c r="D368" s="22"/>
      <c r="E368" s="22"/>
      <c r="F368" s="22"/>
      <c r="G368" s="25"/>
      <c r="H368" s="15">
        <v>18</v>
      </c>
      <c r="I368" s="15">
        <v>19</v>
      </c>
      <c r="J368" s="15">
        <f t="shared" si="92"/>
        <v>3</v>
      </c>
      <c r="K368" s="15">
        <f t="shared" si="91"/>
        <v>4</v>
      </c>
      <c r="L368" s="15">
        <v>-13.5</v>
      </c>
      <c r="M368" s="15">
        <v>1.6</v>
      </c>
      <c r="N368" s="15">
        <f t="shared" si="84"/>
        <v>-8.4375</v>
      </c>
      <c r="O368" s="22"/>
      <c r="P368" s="22"/>
      <c r="Q368" s="22"/>
      <c r="R368" s="22"/>
      <c r="S368" s="22"/>
    </row>
    <row r="369" spans="1:19" x14ac:dyDescent="0.15">
      <c r="A369" s="22"/>
      <c r="B369" s="22"/>
      <c r="C369" s="22"/>
      <c r="D369" s="22"/>
      <c r="E369" s="22"/>
      <c r="F369" s="22"/>
      <c r="G369" s="25"/>
      <c r="H369" s="15">
        <v>18</v>
      </c>
      <c r="I369" s="15">
        <v>19</v>
      </c>
      <c r="J369" s="15">
        <f t="shared" si="92"/>
        <v>4</v>
      </c>
      <c r="K369" s="15">
        <f t="shared" si="91"/>
        <v>5</v>
      </c>
      <c r="L369" s="15">
        <v>-11.46</v>
      </c>
      <c r="M369" s="15">
        <v>1.59</v>
      </c>
      <c r="N369" s="15">
        <f t="shared" si="84"/>
        <v>-7.2075471698113205</v>
      </c>
      <c r="O369" s="22"/>
      <c r="P369" s="22"/>
      <c r="Q369" s="22"/>
      <c r="R369" s="22"/>
      <c r="S369" s="22"/>
    </row>
    <row r="370" spans="1:19" x14ac:dyDescent="0.15">
      <c r="A370" s="22"/>
      <c r="B370" s="22"/>
      <c r="C370" s="22"/>
      <c r="D370" s="22"/>
      <c r="E370" s="22"/>
      <c r="F370" s="22"/>
      <c r="G370" s="25"/>
      <c r="H370" s="15">
        <v>18</v>
      </c>
      <c r="I370" s="15">
        <v>19</v>
      </c>
      <c r="J370" s="15">
        <f t="shared" si="92"/>
        <v>5</v>
      </c>
      <c r="K370" s="15">
        <f t="shared" si="91"/>
        <v>6</v>
      </c>
      <c r="L370" s="15">
        <v>-10.36</v>
      </c>
      <c r="M370" s="15">
        <v>1.58</v>
      </c>
      <c r="N370" s="15">
        <f t="shared" si="84"/>
        <v>-6.5569620253164551</v>
      </c>
      <c r="O370" s="22"/>
      <c r="P370" s="22"/>
      <c r="Q370" s="22"/>
      <c r="R370" s="22"/>
      <c r="S370" s="22"/>
    </row>
    <row r="371" spans="1:19" x14ac:dyDescent="0.15">
      <c r="A371" s="22"/>
      <c r="B371" s="22"/>
      <c r="C371" s="22"/>
      <c r="D371" s="22"/>
      <c r="E371" s="22"/>
      <c r="F371" s="22"/>
      <c r="G371" s="25"/>
      <c r="H371" s="15">
        <v>18</v>
      </c>
      <c r="I371" s="15">
        <v>19</v>
      </c>
      <c r="J371" s="15">
        <f t="shared" si="92"/>
        <v>6</v>
      </c>
      <c r="K371" s="15">
        <f t="shared" si="91"/>
        <v>7</v>
      </c>
      <c r="L371" s="15">
        <v>-10.38</v>
      </c>
      <c r="M371" s="15">
        <v>1.58</v>
      </c>
      <c r="N371" s="15">
        <f t="shared" si="84"/>
        <v>-6.5696202531645573</v>
      </c>
      <c r="O371" s="22"/>
      <c r="P371" s="22"/>
      <c r="Q371" s="22"/>
      <c r="R371" s="22"/>
      <c r="S371" s="22"/>
    </row>
    <row r="372" spans="1:19" x14ac:dyDescent="0.15">
      <c r="A372" s="22"/>
      <c r="B372" s="22"/>
      <c r="C372" s="22"/>
      <c r="D372" s="22"/>
      <c r="E372" s="22"/>
      <c r="F372" s="22"/>
      <c r="G372" s="25"/>
      <c r="H372" s="15">
        <v>18</v>
      </c>
      <c r="I372" s="15">
        <v>19</v>
      </c>
      <c r="J372" s="15">
        <f t="shared" si="92"/>
        <v>7</v>
      </c>
      <c r="K372" s="15">
        <f t="shared" si="91"/>
        <v>8</v>
      </c>
      <c r="L372" s="15">
        <v>-10.23</v>
      </c>
      <c r="M372" s="15">
        <v>1.59</v>
      </c>
      <c r="N372" s="15">
        <f t="shared" si="84"/>
        <v>-6.4339622641509431</v>
      </c>
      <c r="O372" s="22"/>
      <c r="P372" s="22"/>
      <c r="Q372" s="22"/>
      <c r="R372" s="22"/>
      <c r="S372" s="22"/>
    </row>
    <row r="373" spans="1:19" x14ac:dyDescent="0.15">
      <c r="A373" s="22"/>
      <c r="B373" s="22"/>
      <c r="C373" s="22"/>
      <c r="D373" s="22"/>
      <c r="E373" s="22"/>
      <c r="F373" s="22"/>
      <c r="G373" s="25"/>
      <c r="H373" s="15">
        <v>18</v>
      </c>
      <c r="I373" s="15">
        <v>19</v>
      </c>
      <c r="J373" s="15">
        <f t="shared" si="92"/>
        <v>8</v>
      </c>
      <c r="K373" s="15">
        <f t="shared" si="91"/>
        <v>9</v>
      </c>
      <c r="L373" s="15">
        <v>-8.8000000000000007</v>
      </c>
      <c r="M373" s="15">
        <v>1.58</v>
      </c>
      <c r="N373" s="15">
        <f t="shared" si="84"/>
        <v>-5.5696202531645573</v>
      </c>
      <c r="O373" s="22"/>
      <c r="P373" s="22"/>
      <c r="Q373" s="22"/>
      <c r="R373" s="22"/>
      <c r="S373" s="22"/>
    </row>
    <row r="374" spans="1:19" x14ac:dyDescent="0.15">
      <c r="A374" s="22"/>
      <c r="B374" s="22"/>
      <c r="C374" s="22"/>
      <c r="D374" s="22"/>
      <c r="E374" s="22"/>
      <c r="F374" s="22"/>
      <c r="G374" s="25"/>
      <c r="H374" s="15">
        <v>18</v>
      </c>
      <c r="I374" s="15">
        <v>19</v>
      </c>
      <c r="J374" s="15">
        <f t="shared" si="92"/>
        <v>9</v>
      </c>
      <c r="K374" s="15">
        <f t="shared" si="91"/>
        <v>10</v>
      </c>
      <c r="L374" s="15">
        <v>-11.43</v>
      </c>
      <c r="M374" s="15">
        <v>1.6</v>
      </c>
      <c r="N374" s="15">
        <f t="shared" si="84"/>
        <v>-7.1437499999999998</v>
      </c>
      <c r="O374" s="22"/>
      <c r="P374" s="22"/>
      <c r="Q374" s="22"/>
      <c r="R374" s="22"/>
      <c r="S374" s="22"/>
    </row>
    <row r="375" spans="1:19" x14ac:dyDescent="0.15">
      <c r="A375" s="22"/>
      <c r="B375" s="22"/>
      <c r="C375" s="22"/>
      <c r="D375" s="22"/>
      <c r="E375" s="22"/>
      <c r="F375" s="22"/>
      <c r="G375" s="25"/>
      <c r="H375" s="15">
        <v>18</v>
      </c>
      <c r="I375" s="15">
        <v>19</v>
      </c>
      <c r="J375" s="15">
        <f t="shared" si="92"/>
        <v>10</v>
      </c>
      <c r="K375" s="15">
        <f t="shared" si="91"/>
        <v>11</v>
      </c>
      <c r="L375" s="15">
        <v>-13.46</v>
      </c>
      <c r="M375" s="15">
        <v>1.59</v>
      </c>
      <c r="N375" s="15">
        <f t="shared" si="84"/>
        <v>-8.465408805031446</v>
      </c>
      <c r="O375" s="22"/>
      <c r="P375" s="22"/>
      <c r="Q375" s="22"/>
      <c r="R375" s="22"/>
      <c r="S375" s="22"/>
    </row>
    <row r="376" spans="1:19" x14ac:dyDescent="0.15">
      <c r="A376" s="22"/>
      <c r="B376" s="22"/>
      <c r="C376" s="22"/>
      <c r="D376" s="22"/>
      <c r="E376" s="22"/>
      <c r="F376" s="22"/>
      <c r="G376" s="25"/>
      <c r="H376" s="15">
        <v>18</v>
      </c>
      <c r="I376" s="15">
        <v>19</v>
      </c>
      <c r="J376" s="15">
        <f t="shared" si="92"/>
        <v>11</v>
      </c>
      <c r="K376" s="15">
        <f t="shared" si="91"/>
        <v>12</v>
      </c>
      <c r="L376" s="15">
        <v>-18.43</v>
      </c>
      <c r="M376" s="15">
        <v>1.59</v>
      </c>
      <c r="N376" s="15">
        <f t="shared" si="84"/>
        <v>-11.591194968553458</v>
      </c>
      <c r="O376" s="22"/>
      <c r="P376" s="22"/>
      <c r="Q376" s="22"/>
      <c r="R376" s="22"/>
      <c r="S376" s="22"/>
    </row>
    <row r="377" spans="1:19" x14ac:dyDescent="0.15">
      <c r="A377" s="22"/>
      <c r="B377" s="22"/>
      <c r="C377" s="22"/>
      <c r="D377" s="22"/>
      <c r="E377" s="22"/>
      <c r="F377" s="22"/>
      <c r="G377" s="25"/>
      <c r="H377" s="15">
        <v>18</v>
      </c>
      <c r="I377" s="15">
        <v>19</v>
      </c>
      <c r="J377" s="15">
        <f t="shared" si="92"/>
        <v>12</v>
      </c>
      <c r="K377" s="15">
        <f t="shared" si="91"/>
        <v>13</v>
      </c>
      <c r="L377" s="15">
        <v>-25.18</v>
      </c>
      <c r="M377" s="15">
        <v>1.58</v>
      </c>
      <c r="N377" s="15">
        <f t="shared" si="84"/>
        <v>-15.936708860759493</v>
      </c>
      <c r="O377" s="22"/>
      <c r="P377" s="22"/>
      <c r="Q377" s="22"/>
      <c r="R377" s="22"/>
      <c r="S377" s="22"/>
    </row>
    <row r="378" spans="1:19" x14ac:dyDescent="0.15">
      <c r="A378" s="22"/>
      <c r="B378" s="22"/>
      <c r="C378" s="22"/>
      <c r="D378" s="22"/>
      <c r="E378" s="22"/>
      <c r="F378" s="22"/>
      <c r="G378" s="25"/>
      <c r="H378" s="15">
        <v>18</v>
      </c>
      <c r="I378" s="15">
        <v>19</v>
      </c>
      <c r="J378" s="15">
        <f t="shared" si="92"/>
        <v>13</v>
      </c>
      <c r="K378" s="15">
        <f t="shared" si="91"/>
        <v>14</v>
      </c>
      <c r="L378" s="15">
        <v>-42.41</v>
      </c>
      <c r="M378" s="15">
        <v>1.55</v>
      </c>
      <c r="N378" s="15">
        <f t="shared" si="84"/>
        <v>-27.361290322580643</v>
      </c>
      <c r="O378" s="22"/>
      <c r="P378" s="22"/>
      <c r="Q378" s="22"/>
      <c r="R378" s="22"/>
      <c r="S378" s="22"/>
    </row>
    <row r="379" spans="1:19" x14ac:dyDescent="0.15">
      <c r="A379" s="22"/>
      <c r="B379" s="22"/>
      <c r="C379" s="22"/>
      <c r="D379" s="22"/>
      <c r="E379" s="22"/>
      <c r="F379" s="22"/>
      <c r="G379" s="25"/>
      <c r="H379" s="15">
        <v>18</v>
      </c>
      <c r="I379" s="15">
        <v>19</v>
      </c>
      <c r="J379" s="15">
        <f t="shared" si="92"/>
        <v>14</v>
      </c>
      <c r="K379" s="15">
        <f t="shared" si="91"/>
        <v>15</v>
      </c>
      <c r="L379" s="15">
        <v>-68.98</v>
      </c>
      <c r="M379" s="15">
        <v>1.52</v>
      </c>
      <c r="N379" s="15">
        <f t="shared" si="84"/>
        <v>-45.381578947368425</v>
      </c>
      <c r="O379" s="22"/>
      <c r="P379" s="22"/>
      <c r="Q379" s="22"/>
      <c r="R379" s="22"/>
      <c r="S379" s="22"/>
    </row>
    <row r="380" spans="1:19" x14ac:dyDescent="0.15">
      <c r="A380" s="22"/>
      <c r="B380" s="22"/>
      <c r="C380" s="22"/>
      <c r="D380" s="22"/>
      <c r="E380" s="22"/>
      <c r="F380" s="22"/>
      <c r="G380" s="25"/>
      <c r="H380" s="15">
        <v>18</v>
      </c>
      <c r="I380" s="15">
        <v>19</v>
      </c>
      <c r="J380" s="15">
        <f t="shared" si="92"/>
        <v>15</v>
      </c>
      <c r="K380" s="15">
        <f t="shared" si="91"/>
        <v>16</v>
      </c>
      <c r="L380" s="15">
        <v>-174.43</v>
      </c>
      <c r="M380" s="15">
        <v>1.54</v>
      </c>
      <c r="N380" s="15">
        <f t="shared" si="84"/>
        <v>-113.26623376623377</v>
      </c>
      <c r="O380" s="22"/>
      <c r="P380" s="22"/>
      <c r="Q380" s="22"/>
      <c r="R380" s="22"/>
      <c r="S380" s="22"/>
    </row>
    <row r="381" spans="1:19" x14ac:dyDescent="0.15">
      <c r="A381" s="22"/>
      <c r="B381" s="22"/>
      <c r="C381" s="22"/>
      <c r="D381" s="22"/>
      <c r="E381" s="22"/>
      <c r="F381" s="22"/>
      <c r="G381" s="25"/>
      <c r="H381" s="15">
        <v>18</v>
      </c>
      <c r="I381" s="15">
        <v>19</v>
      </c>
      <c r="J381" s="15">
        <f t="shared" si="92"/>
        <v>16</v>
      </c>
      <c r="K381" s="15">
        <f t="shared" si="91"/>
        <v>17</v>
      </c>
      <c r="L381" s="15">
        <v>-687.4</v>
      </c>
      <c r="M381" s="15">
        <v>1.54</v>
      </c>
      <c r="N381" s="15">
        <f t="shared" si="84"/>
        <v>-446.36363636363632</v>
      </c>
      <c r="O381" s="22"/>
      <c r="P381" s="22"/>
      <c r="Q381" s="22"/>
      <c r="R381" s="22"/>
      <c r="S381" s="22"/>
    </row>
    <row r="382" spans="1:19" x14ac:dyDescent="0.15">
      <c r="A382" s="22"/>
      <c r="B382" s="22"/>
      <c r="C382" s="22"/>
      <c r="D382" s="22"/>
      <c r="E382" s="22"/>
      <c r="F382" s="22"/>
      <c r="G382" s="25"/>
      <c r="H382" s="15">
        <v>19</v>
      </c>
      <c r="I382" s="15">
        <v>20</v>
      </c>
      <c r="J382" s="15">
        <f>I382+1</f>
        <v>21</v>
      </c>
      <c r="K382" s="15">
        <f>J382+1</f>
        <v>22</v>
      </c>
      <c r="L382" s="15">
        <v>-532.66999999999996</v>
      </c>
      <c r="M382" s="15">
        <v>1.39</v>
      </c>
      <c r="N382" s="15">
        <f t="shared" si="84"/>
        <v>-383.21582733812949</v>
      </c>
      <c r="O382" s="22"/>
      <c r="P382" s="22"/>
      <c r="Q382" s="22"/>
      <c r="R382" s="22"/>
      <c r="S382" s="22"/>
    </row>
    <row r="383" spans="1:19" x14ac:dyDescent="0.15">
      <c r="A383" s="22"/>
      <c r="B383" s="22"/>
      <c r="C383" s="22"/>
      <c r="D383" s="22"/>
      <c r="E383" s="22"/>
      <c r="F383" s="22"/>
      <c r="G383" s="25"/>
      <c r="H383" s="15">
        <v>19</v>
      </c>
      <c r="I383" s="15">
        <v>20</v>
      </c>
      <c r="J383" s="15">
        <f>J382+1</f>
        <v>22</v>
      </c>
      <c r="K383" s="15">
        <f>K382+1</f>
        <v>23</v>
      </c>
      <c r="L383" s="15">
        <v>-145.16999999999999</v>
      </c>
      <c r="M383" s="15">
        <v>1.39</v>
      </c>
      <c r="N383" s="15">
        <f t="shared" si="84"/>
        <v>-104.43884892086331</v>
      </c>
      <c r="O383" s="22"/>
      <c r="P383" s="22"/>
      <c r="Q383" s="22"/>
      <c r="R383" s="22"/>
      <c r="S383" s="22"/>
    </row>
    <row r="384" spans="1:19" x14ac:dyDescent="0.15">
      <c r="A384" s="22"/>
      <c r="B384" s="22"/>
      <c r="C384" s="22"/>
      <c r="D384" s="22"/>
      <c r="E384" s="22"/>
      <c r="F384" s="22"/>
      <c r="G384" s="25"/>
      <c r="H384" s="15">
        <v>19</v>
      </c>
      <c r="I384" s="15">
        <v>20</v>
      </c>
      <c r="J384" s="15">
        <f>J383+1</f>
        <v>23</v>
      </c>
      <c r="K384" s="15">
        <f>K383+1</f>
        <v>24</v>
      </c>
      <c r="L384" s="15">
        <v>-57.02</v>
      </c>
      <c r="M384" s="15">
        <v>1.39</v>
      </c>
      <c r="N384" s="15">
        <f t="shared" si="84"/>
        <v>-41.021582733812956</v>
      </c>
      <c r="O384" s="22"/>
      <c r="P384" s="22"/>
      <c r="Q384" s="22"/>
      <c r="R384" s="22"/>
      <c r="S384" s="22"/>
    </row>
    <row r="385" spans="1:19" x14ac:dyDescent="0.15">
      <c r="A385" s="22"/>
      <c r="B385" s="22"/>
      <c r="C385" s="22"/>
      <c r="D385" s="22"/>
      <c r="E385" s="22"/>
      <c r="F385" s="22"/>
      <c r="G385" s="25"/>
      <c r="H385" s="15">
        <v>19</v>
      </c>
      <c r="I385" s="15">
        <v>20</v>
      </c>
      <c r="J385" s="15">
        <f>J384+1</f>
        <v>24</v>
      </c>
      <c r="K385" s="15">
        <v>1</v>
      </c>
      <c r="L385" s="15">
        <v>-27.52</v>
      </c>
      <c r="M385" s="15">
        <v>1.39</v>
      </c>
      <c r="N385" s="15">
        <f t="shared" si="84"/>
        <v>-19.798561151079138</v>
      </c>
      <c r="O385" s="22"/>
      <c r="P385" s="22"/>
      <c r="Q385" s="22"/>
      <c r="R385" s="22"/>
      <c r="S385" s="22"/>
    </row>
    <row r="386" spans="1:19" x14ac:dyDescent="0.15">
      <c r="A386" s="22"/>
      <c r="B386" s="22"/>
      <c r="C386" s="22"/>
      <c r="D386" s="22"/>
      <c r="E386" s="22"/>
      <c r="F386" s="22"/>
      <c r="G386" s="25"/>
      <c r="H386" s="15">
        <v>19</v>
      </c>
      <c r="I386" s="15">
        <v>20</v>
      </c>
      <c r="J386" s="15">
        <v>1</v>
      </c>
      <c r="K386" s="15">
        <f t="shared" ref="K386:K402" si="93">K385+1</f>
        <v>2</v>
      </c>
      <c r="L386" s="15">
        <v>-15.86</v>
      </c>
      <c r="M386" s="15">
        <v>1.39</v>
      </c>
      <c r="N386" s="15">
        <f t="shared" si="84"/>
        <v>-11.410071942446043</v>
      </c>
      <c r="O386" s="22"/>
      <c r="P386" s="22"/>
      <c r="Q386" s="22"/>
      <c r="R386" s="22"/>
      <c r="S386" s="22"/>
    </row>
    <row r="387" spans="1:19" x14ac:dyDescent="0.15">
      <c r="A387" s="22"/>
      <c r="B387" s="22"/>
      <c r="C387" s="22"/>
      <c r="D387" s="22"/>
      <c r="E387" s="22"/>
      <c r="F387" s="22"/>
      <c r="G387" s="25"/>
      <c r="H387" s="15">
        <v>19</v>
      </c>
      <c r="I387" s="15">
        <v>20</v>
      </c>
      <c r="J387" s="15">
        <f t="shared" ref="J387:J402" si="94">J386+1</f>
        <v>2</v>
      </c>
      <c r="K387" s="15">
        <f t="shared" si="93"/>
        <v>3</v>
      </c>
      <c r="L387" s="15">
        <v>-10.89</v>
      </c>
      <c r="M387" s="15">
        <v>1.4</v>
      </c>
      <c r="N387" s="15">
        <f t="shared" si="84"/>
        <v>-7.7785714285714294</v>
      </c>
      <c r="O387" s="22"/>
      <c r="P387" s="22"/>
      <c r="Q387" s="22"/>
      <c r="R387" s="22"/>
      <c r="S387" s="22"/>
    </row>
    <row r="388" spans="1:19" x14ac:dyDescent="0.15">
      <c r="A388" s="22"/>
      <c r="B388" s="22"/>
      <c r="C388" s="22"/>
      <c r="D388" s="22"/>
      <c r="E388" s="22"/>
      <c r="F388" s="22"/>
      <c r="G388" s="25"/>
      <c r="H388" s="15">
        <v>19</v>
      </c>
      <c r="I388" s="15">
        <v>20</v>
      </c>
      <c r="J388" s="15">
        <f t="shared" si="94"/>
        <v>3</v>
      </c>
      <c r="K388" s="15">
        <f t="shared" si="93"/>
        <v>4</v>
      </c>
      <c r="L388" s="15">
        <v>-7.37</v>
      </c>
      <c r="M388" s="15">
        <v>1.41</v>
      </c>
      <c r="N388" s="15">
        <f t="shared" ref="N388:N451" si="95">L388/M388</f>
        <v>-5.2269503546099294</v>
      </c>
      <c r="O388" s="22"/>
      <c r="P388" s="22"/>
      <c r="Q388" s="22"/>
      <c r="R388" s="22"/>
      <c r="S388" s="22"/>
    </row>
    <row r="389" spans="1:19" x14ac:dyDescent="0.15">
      <c r="A389" s="22"/>
      <c r="B389" s="22"/>
      <c r="C389" s="22"/>
      <c r="D389" s="22"/>
      <c r="E389" s="22"/>
      <c r="F389" s="22"/>
      <c r="G389" s="25"/>
      <c r="H389" s="15">
        <v>19</v>
      </c>
      <c r="I389" s="15">
        <v>20</v>
      </c>
      <c r="J389" s="15">
        <f t="shared" si="94"/>
        <v>4</v>
      </c>
      <c r="K389" s="15">
        <f t="shared" si="93"/>
        <v>5</v>
      </c>
      <c r="L389" s="15">
        <v>-4.9400000000000004</v>
      </c>
      <c r="M389" s="15">
        <v>1.4</v>
      </c>
      <c r="N389" s="15">
        <f t="shared" si="95"/>
        <v>-3.5285714285714289</v>
      </c>
      <c r="O389" s="22"/>
      <c r="P389" s="22"/>
      <c r="Q389" s="22"/>
      <c r="R389" s="22"/>
      <c r="S389" s="22"/>
    </row>
    <row r="390" spans="1:19" x14ac:dyDescent="0.15">
      <c r="A390" s="22"/>
      <c r="B390" s="22"/>
      <c r="C390" s="22"/>
      <c r="D390" s="22"/>
      <c r="E390" s="22"/>
      <c r="F390" s="22"/>
      <c r="G390" s="25"/>
      <c r="H390" s="15">
        <v>19</v>
      </c>
      <c r="I390" s="15">
        <v>20</v>
      </c>
      <c r="J390" s="15">
        <f t="shared" si="94"/>
        <v>5</v>
      </c>
      <c r="K390" s="15">
        <f t="shared" si="93"/>
        <v>6</v>
      </c>
      <c r="L390" s="15">
        <v>-4.13</v>
      </c>
      <c r="M390" s="15">
        <v>1.4</v>
      </c>
      <c r="N390" s="15">
        <f t="shared" si="95"/>
        <v>-2.95</v>
      </c>
      <c r="O390" s="22"/>
      <c r="P390" s="22"/>
      <c r="Q390" s="22"/>
      <c r="R390" s="22"/>
      <c r="S390" s="22"/>
    </row>
    <row r="391" spans="1:19" x14ac:dyDescent="0.15">
      <c r="A391" s="22"/>
      <c r="B391" s="22"/>
      <c r="C391" s="22"/>
      <c r="D391" s="22"/>
      <c r="E391" s="22"/>
      <c r="F391" s="22"/>
      <c r="G391" s="25"/>
      <c r="H391" s="15">
        <v>19</v>
      </c>
      <c r="I391" s="15">
        <v>20</v>
      </c>
      <c r="J391" s="15">
        <f t="shared" si="94"/>
        <v>6</v>
      </c>
      <c r="K391" s="15">
        <f t="shared" si="93"/>
        <v>7</v>
      </c>
      <c r="L391" s="15">
        <v>-3.55</v>
      </c>
      <c r="M391" s="15">
        <v>1.39</v>
      </c>
      <c r="N391" s="15">
        <f t="shared" si="95"/>
        <v>-2.5539568345323742</v>
      </c>
      <c r="O391" s="22"/>
      <c r="P391" s="22"/>
      <c r="Q391" s="22"/>
      <c r="R391" s="22"/>
      <c r="S391" s="22"/>
    </row>
    <row r="392" spans="1:19" x14ac:dyDescent="0.15">
      <c r="A392" s="22"/>
      <c r="B392" s="22"/>
      <c r="C392" s="22"/>
      <c r="D392" s="22"/>
      <c r="E392" s="22"/>
      <c r="F392" s="22"/>
      <c r="G392" s="25"/>
      <c r="H392" s="15">
        <v>19</v>
      </c>
      <c r="I392" s="15">
        <v>20</v>
      </c>
      <c r="J392" s="15">
        <f t="shared" si="94"/>
        <v>7</v>
      </c>
      <c r="K392" s="15">
        <f t="shared" si="93"/>
        <v>8</v>
      </c>
      <c r="L392" s="15">
        <v>-3.24</v>
      </c>
      <c r="M392" s="15">
        <v>1.38</v>
      </c>
      <c r="N392" s="15">
        <f t="shared" si="95"/>
        <v>-2.347826086956522</v>
      </c>
      <c r="O392" s="22"/>
      <c r="P392" s="22"/>
      <c r="Q392" s="22"/>
      <c r="R392" s="22"/>
      <c r="S392" s="22"/>
    </row>
    <row r="393" spans="1:19" x14ac:dyDescent="0.15">
      <c r="A393" s="22"/>
      <c r="B393" s="22"/>
      <c r="C393" s="22"/>
      <c r="D393" s="22"/>
      <c r="E393" s="22"/>
      <c r="F393" s="22"/>
      <c r="G393" s="25"/>
      <c r="H393" s="15">
        <v>19</v>
      </c>
      <c r="I393" s="15">
        <v>20</v>
      </c>
      <c r="J393" s="15">
        <f t="shared" si="94"/>
        <v>8</v>
      </c>
      <c r="K393" s="15">
        <f t="shared" si="93"/>
        <v>9</v>
      </c>
      <c r="L393" s="15">
        <v>-4.42</v>
      </c>
      <c r="M393" s="15">
        <v>1.39</v>
      </c>
      <c r="N393" s="15">
        <f t="shared" si="95"/>
        <v>-3.1798561151079139</v>
      </c>
      <c r="O393" s="22"/>
      <c r="P393" s="22"/>
      <c r="Q393" s="22"/>
      <c r="R393" s="22"/>
      <c r="S393" s="22"/>
    </row>
    <row r="394" spans="1:19" x14ac:dyDescent="0.15">
      <c r="A394" s="22"/>
      <c r="B394" s="22"/>
      <c r="C394" s="22"/>
      <c r="D394" s="22"/>
      <c r="E394" s="22"/>
      <c r="F394" s="22"/>
      <c r="G394" s="25"/>
      <c r="H394" s="15">
        <v>19</v>
      </c>
      <c r="I394" s="15">
        <v>20</v>
      </c>
      <c r="J394" s="15">
        <f t="shared" si="94"/>
        <v>9</v>
      </c>
      <c r="K394" s="15">
        <f t="shared" si="93"/>
        <v>10</v>
      </c>
      <c r="L394" s="15">
        <v>-6.21</v>
      </c>
      <c r="M394" s="15">
        <v>1.39</v>
      </c>
      <c r="N394" s="15">
        <f t="shared" si="95"/>
        <v>-4.4676258992805762</v>
      </c>
      <c r="O394" s="22"/>
      <c r="P394" s="22"/>
      <c r="Q394" s="22"/>
      <c r="R394" s="22"/>
      <c r="S394" s="22"/>
    </row>
    <row r="395" spans="1:19" x14ac:dyDescent="0.15">
      <c r="A395" s="22"/>
      <c r="B395" s="22"/>
      <c r="C395" s="22"/>
      <c r="D395" s="22"/>
      <c r="E395" s="22"/>
      <c r="F395" s="22"/>
      <c r="G395" s="25"/>
      <c r="H395" s="15">
        <v>19</v>
      </c>
      <c r="I395" s="15">
        <v>20</v>
      </c>
      <c r="J395" s="15">
        <f t="shared" si="94"/>
        <v>10</v>
      </c>
      <c r="K395" s="15">
        <f t="shared" si="93"/>
        <v>11</v>
      </c>
      <c r="L395" s="15">
        <v>-6.01</v>
      </c>
      <c r="M395" s="15">
        <v>1.41</v>
      </c>
      <c r="N395" s="15">
        <f t="shared" si="95"/>
        <v>-4.2624113475177303</v>
      </c>
      <c r="O395" s="22"/>
      <c r="P395" s="22"/>
      <c r="Q395" s="22"/>
      <c r="R395" s="22"/>
      <c r="S395" s="22"/>
    </row>
    <row r="396" spans="1:19" x14ac:dyDescent="0.15">
      <c r="A396" s="22"/>
      <c r="B396" s="22"/>
      <c r="C396" s="22"/>
      <c r="D396" s="22"/>
      <c r="E396" s="22"/>
      <c r="F396" s="22"/>
      <c r="G396" s="25"/>
      <c r="H396" s="15">
        <v>19</v>
      </c>
      <c r="I396" s="15">
        <v>20</v>
      </c>
      <c r="J396" s="15">
        <f t="shared" si="94"/>
        <v>11</v>
      </c>
      <c r="K396" s="15">
        <f t="shared" si="93"/>
        <v>12</v>
      </c>
      <c r="L396" s="15">
        <v>-8.74</v>
      </c>
      <c r="M396" s="15">
        <v>1.39</v>
      </c>
      <c r="N396" s="15">
        <f t="shared" si="95"/>
        <v>-6.2877697841726627</v>
      </c>
      <c r="O396" s="22"/>
      <c r="P396" s="22"/>
      <c r="Q396" s="22"/>
      <c r="R396" s="22"/>
      <c r="S396" s="22"/>
    </row>
    <row r="397" spans="1:19" x14ac:dyDescent="0.15">
      <c r="A397" s="22"/>
      <c r="B397" s="22"/>
      <c r="C397" s="22"/>
      <c r="D397" s="22"/>
      <c r="E397" s="22"/>
      <c r="F397" s="22"/>
      <c r="G397" s="25"/>
      <c r="H397" s="15">
        <v>19</v>
      </c>
      <c r="I397" s="15">
        <v>20</v>
      </c>
      <c r="J397" s="15">
        <f t="shared" si="94"/>
        <v>12</v>
      </c>
      <c r="K397" s="15">
        <f t="shared" si="93"/>
        <v>13</v>
      </c>
      <c r="L397" s="15">
        <v>-11.66</v>
      </c>
      <c r="M397" s="15">
        <v>1.39</v>
      </c>
      <c r="N397" s="15">
        <f t="shared" si="95"/>
        <v>-8.3884892086330947</v>
      </c>
      <c r="O397" s="22"/>
      <c r="P397" s="22"/>
      <c r="Q397" s="22"/>
      <c r="R397" s="22"/>
      <c r="S397" s="22"/>
    </row>
    <row r="398" spans="1:19" x14ac:dyDescent="0.15">
      <c r="A398" s="22"/>
      <c r="B398" s="22"/>
      <c r="C398" s="22"/>
      <c r="D398" s="22"/>
      <c r="E398" s="22"/>
      <c r="F398" s="22"/>
      <c r="G398" s="25"/>
      <c r="H398" s="15">
        <v>19</v>
      </c>
      <c r="I398" s="15">
        <v>20</v>
      </c>
      <c r="J398" s="15">
        <f t="shared" si="94"/>
        <v>13</v>
      </c>
      <c r="K398" s="15">
        <f t="shared" si="93"/>
        <v>14</v>
      </c>
      <c r="L398" s="15">
        <v>-15.28</v>
      </c>
      <c r="M398" s="15">
        <v>1.31</v>
      </c>
      <c r="N398" s="15">
        <f t="shared" si="95"/>
        <v>-11.664122137404579</v>
      </c>
      <c r="O398" s="22"/>
      <c r="P398" s="22"/>
      <c r="Q398" s="22"/>
      <c r="R398" s="22"/>
      <c r="S398" s="22"/>
    </row>
    <row r="399" spans="1:19" x14ac:dyDescent="0.15">
      <c r="A399" s="22"/>
      <c r="B399" s="22"/>
      <c r="C399" s="22"/>
      <c r="D399" s="22"/>
      <c r="E399" s="22"/>
      <c r="F399" s="22"/>
      <c r="G399" s="25"/>
      <c r="H399" s="15">
        <v>19</v>
      </c>
      <c r="I399" s="15">
        <v>20</v>
      </c>
      <c r="J399" s="15">
        <f t="shared" si="94"/>
        <v>14</v>
      </c>
      <c r="K399" s="15">
        <f t="shared" si="93"/>
        <v>15</v>
      </c>
      <c r="L399" s="15">
        <v>-26.83</v>
      </c>
      <c r="M399" s="15">
        <v>1.34</v>
      </c>
      <c r="N399" s="15">
        <f t="shared" si="95"/>
        <v>-20.022388059701491</v>
      </c>
      <c r="O399" s="22"/>
      <c r="P399" s="22"/>
      <c r="Q399" s="22"/>
      <c r="R399" s="22"/>
      <c r="S399" s="22"/>
    </row>
    <row r="400" spans="1:19" x14ac:dyDescent="0.15">
      <c r="A400" s="22"/>
      <c r="B400" s="22"/>
      <c r="C400" s="22"/>
      <c r="D400" s="22"/>
      <c r="E400" s="22"/>
      <c r="F400" s="22"/>
      <c r="G400" s="25"/>
      <c r="H400" s="15">
        <v>19</v>
      </c>
      <c r="I400" s="15">
        <v>20</v>
      </c>
      <c r="J400" s="15">
        <f t="shared" si="94"/>
        <v>15</v>
      </c>
      <c r="K400" s="15">
        <f t="shared" si="93"/>
        <v>16</v>
      </c>
      <c r="L400" s="15">
        <v>-54.95</v>
      </c>
      <c r="M400" s="15">
        <v>1.34</v>
      </c>
      <c r="N400" s="15">
        <f t="shared" si="95"/>
        <v>-41.007462686567166</v>
      </c>
      <c r="O400" s="22"/>
      <c r="P400" s="22"/>
      <c r="Q400" s="22"/>
      <c r="R400" s="22"/>
      <c r="S400" s="22"/>
    </row>
    <row r="401" spans="1:19" x14ac:dyDescent="0.15">
      <c r="A401" s="22"/>
      <c r="B401" s="22"/>
      <c r="C401" s="22"/>
      <c r="D401" s="22"/>
      <c r="E401" s="22"/>
      <c r="F401" s="22"/>
      <c r="G401" s="25"/>
      <c r="H401" s="15">
        <v>19</v>
      </c>
      <c r="I401" s="15">
        <v>20</v>
      </c>
      <c r="J401" s="15">
        <f t="shared" si="94"/>
        <v>16</v>
      </c>
      <c r="K401" s="15">
        <f t="shared" si="93"/>
        <v>17</v>
      </c>
      <c r="L401" s="15">
        <v>-125.12</v>
      </c>
      <c r="M401" s="15">
        <v>1.31</v>
      </c>
      <c r="N401" s="15">
        <f t="shared" si="95"/>
        <v>-95.511450381679396</v>
      </c>
      <c r="O401" s="22"/>
      <c r="P401" s="22"/>
      <c r="Q401" s="22"/>
      <c r="R401" s="22"/>
      <c r="S401" s="22"/>
    </row>
    <row r="402" spans="1:19" x14ac:dyDescent="0.15">
      <c r="A402" s="22"/>
      <c r="B402" s="22"/>
      <c r="C402" s="22"/>
      <c r="D402" s="22"/>
      <c r="E402" s="22"/>
      <c r="F402" s="22"/>
      <c r="G402" s="25"/>
      <c r="H402" s="15">
        <v>19</v>
      </c>
      <c r="I402" s="15">
        <v>20</v>
      </c>
      <c r="J402" s="15">
        <f t="shared" si="94"/>
        <v>17</v>
      </c>
      <c r="K402" s="15">
        <f t="shared" si="93"/>
        <v>18</v>
      </c>
      <c r="L402" s="15">
        <v>-459.26</v>
      </c>
      <c r="M402" s="15">
        <v>1.34</v>
      </c>
      <c r="N402" s="15">
        <f t="shared" si="95"/>
        <v>-342.73134328358208</v>
      </c>
      <c r="O402" s="22"/>
      <c r="P402" s="22"/>
      <c r="Q402" s="22"/>
      <c r="R402" s="22"/>
      <c r="S402" s="22"/>
    </row>
    <row r="403" spans="1:19" x14ac:dyDescent="0.15">
      <c r="A403" s="22"/>
      <c r="B403" s="22"/>
      <c r="C403" s="22"/>
      <c r="D403" s="22"/>
      <c r="E403" s="22"/>
      <c r="F403" s="22"/>
      <c r="G403" s="25"/>
      <c r="H403" s="15">
        <v>20</v>
      </c>
      <c r="I403" s="15">
        <v>21</v>
      </c>
      <c r="J403" s="15">
        <f>I403+1</f>
        <v>22</v>
      </c>
      <c r="K403" s="15">
        <f>J403+1</f>
        <v>23</v>
      </c>
      <c r="L403" s="15">
        <v>-513.6</v>
      </c>
      <c r="M403" s="15">
        <v>1.28</v>
      </c>
      <c r="N403" s="15">
        <f t="shared" si="95"/>
        <v>-401.25</v>
      </c>
      <c r="O403" s="22"/>
      <c r="P403" s="22"/>
      <c r="Q403" s="22"/>
      <c r="R403" s="22"/>
      <c r="S403" s="22"/>
    </row>
    <row r="404" spans="1:19" x14ac:dyDescent="0.15">
      <c r="A404" s="22"/>
      <c r="B404" s="22"/>
      <c r="C404" s="22"/>
      <c r="D404" s="22"/>
      <c r="E404" s="22"/>
      <c r="F404" s="22"/>
      <c r="G404" s="25"/>
      <c r="H404" s="15">
        <v>20</v>
      </c>
      <c r="I404" s="15">
        <v>21</v>
      </c>
      <c r="J404" s="15">
        <f>J403+1</f>
        <v>23</v>
      </c>
      <c r="K404" s="15">
        <f>K403+1</f>
        <v>24</v>
      </c>
      <c r="L404" s="15">
        <v>-134.79</v>
      </c>
      <c r="M404" s="15">
        <v>1.29</v>
      </c>
      <c r="N404" s="15">
        <f t="shared" si="95"/>
        <v>-104.48837209302324</v>
      </c>
      <c r="O404" s="22"/>
      <c r="P404" s="22"/>
      <c r="Q404" s="22"/>
      <c r="R404" s="22"/>
      <c r="S404" s="22"/>
    </row>
    <row r="405" spans="1:19" x14ac:dyDescent="0.15">
      <c r="A405" s="22"/>
      <c r="B405" s="22"/>
      <c r="C405" s="22"/>
      <c r="D405" s="22"/>
      <c r="E405" s="22"/>
      <c r="F405" s="22"/>
      <c r="G405" s="25"/>
      <c r="H405" s="15">
        <v>20</v>
      </c>
      <c r="I405" s="15">
        <v>21</v>
      </c>
      <c r="J405" s="15">
        <f>J404+1</f>
        <v>24</v>
      </c>
      <c r="K405" s="15">
        <v>1</v>
      </c>
      <c r="L405" s="15">
        <v>-55.22</v>
      </c>
      <c r="M405" s="15">
        <v>1.3</v>
      </c>
      <c r="N405" s="15">
        <f t="shared" si="95"/>
        <v>-42.476923076923072</v>
      </c>
      <c r="O405" s="22"/>
      <c r="P405" s="22"/>
      <c r="Q405" s="22"/>
      <c r="R405" s="22"/>
      <c r="S405" s="22"/>
    </row>
    <row r="406" spans="1:19" x14ac:dyDescent="0.15">
      <c r="A406" s="22"/>
      <c r="B406" s="22"/>
      <c r="C406" s="22"/>
      <c r="D406" s="22"/>
      <c r="E406" s="22"/>
      <c r="F406" s="22"/>
      <c r="G406" s="25"/>
      <c r="H406" s="15">
        <v>20</v>
      </c>
      <c r="I406" s="15">
        <v>21</v>
      </c>
      <c r="J406" s="15">
        <v>1</v>
      </c>
      <c r="K406" s="15">
        <f t="shared" ref="K406:K423" si="96">K405+1</f>
        <v>2</v>
      </c>
      <c r="L406" s="15">
        <v>-33.950000000000003</v>
      </c>
      <c r="M406" s="15">
        <v>1.27</v>
      </c>
      <c r="N406" s="15">
        <f t="shared" si="95"/>
        <v>-26.73228346456693</v>
      </c>
      <c r="O406" s="22"/>
      <c r="P406" s="22"/>
      <c r="Q406" s="22"/>
      <c r="R406" s="22"/>
      <c r="S406" s="22"/>
    </row>
    <row r="407" spans="1:19" x14ac:dyDescent="0.15">
      <c r="A407" s="22"/>
      <c r="B407" s="22"/>
      <c r="C407" s="22"/>
      <c r="D407" s="22"/>
      <c r="E407" s="22"/>
      <c r="F407" s="22"/>
      <c r="G407" s="25"/>
      <c r="H407" s="15">
        <v>20</v>
      </c>
      <c r="I407" s="15">
        <v>21</v>
      </c>
      <c r="J407" s="15">
        <f t="shared" ref="J407:J423" si="97">J406+1</f>
        <v>2</v>
      </c>
      <c r="K407" s="15">
        <f t="shared" si="96"/>
        <v>3</v>
      </c>
      <c r="L407" s="15">
        <v>-20.45</v>
      </c>
      <c r="M407" s="15">
        <v>1.28</v>
      </c>
      <c r="N407" s="15">
        <f t="shared" si="95"/>
        <v>-15.9765625</v>
      </c>
      <c r="O407" s="22"/>
      <c r="P407" s="22"/>
      <c r="Q407" s="22"/>
      <c r="R407" s="22"/>
      <c r="S407" s="22"/>
    </row>
    <row r="408" spans="1:19" x14ac:dyDescent="0.15">
      <c r="A408" s="22"/>
      <c r="B408" s="22"/>
      <c r="C408" s="22"/>
      <c r="D408" s="22"/>
      <c r="E408" s="22"/>
      <c r="F408" s="22"/>
      <c r="G408" s="25"/>
      <c r="H408" s="15">
        <v>20</v>
      </c>
      <c r="I408" s="15">
        <v>21</v>
      </c>
      <c r="J408" s="15">
        <f t="shared" si="97"/>
        <v>3</v>
      </c>
      <c r="K408" s="15">
        <f t="shared" si="96"/>
        <v>4</v>
      </c>
      <c r="L408" s="15">
        <v>-16.010000000000002</v>
      </c>
      <c r="M408" s="15">
        <v>1.28</v>
      </c>
      <c r="N408" s="15">
        <f t="shared" si="95"/>
        <v>-12.507812500000002</v>
      </c>
      <c r="O408" s="22"/>
      <c r="P408" s="22"/>
      <c r="Q408" s="22"/>
      <c r="R408" s="22"/>
      <c r="S408" s="22"/>
    </row>
    <row r="409" spans="1:19" x14ac:dyDescent="0.15">
      <c r="A409" s="22"/>
      <c r="B409" s="22"/>
      <c r="C409" s="22"/>
      <c r="D409" s="22"/>
      <c r="E409" s="22"/>
      <c r="F409" s="22"/>
      <c r="G409" s="25"/>
      <c r="H409" s="15">
        <v>20</v>
      </c>
      <c r="I409" s="15">
        <v>21</v>
      </c>
      <c r="J409" s="15">
        <f t="shared" si="97"/>
        <v>4</v>
      </c>
      <c r="K409" s="15">
        <f t="shared" si="96"/>
        <v>5</v>
      </c>
      <c r="L409" s="15">
        <v>-14.2</v>
      </c>
      <c r="M409" s="15">
        <v>1.28</v>
      </c>
      <c r="N409" s="15">
        <f t="shared" si="95"/>
        <v>-11.09375</v>
      </c>
      <c r="O409" s="22"/>
      <c r="P409" s="22"/>
      <c r="Q409" s="22"/>
      <c r="R409" s="22"/>
      <c r="S409" s="22"/>
    </row>
    <row r="410" spans="1:19" x14ac:dyDescent="0.15">
      <c r="A410" s="22"/>
      <c r="B410" s="22"/>
      <c r="C410" s="22"/>
      <c r="D410" s="22"/>
      <c r="E410" s="22"/>
      <c r="F410" s="22"/>
      <c r="G410" s="25"/>
      <c r="H410" s="15">
        <v>20</v>
      </c>
      <c r="I410" s="15">
        <v>21</v>
      </c>
      <c r="J410" s="15">
        <f t="shared" si="97"/>
        <v>5</v>
      </c>
      <c r="K410" s="15">
        <f t="shared" si="96"/>
        <v>6</v>
      </c>
      <c r="L410" s="15">
        <v>-9.83</v>
      </c>
      <c r="M410" s="15">
        <v>1.28</v>
      </c>
      <c r="N410" s="15">
        <f t="shared" si="95"/>
        <v>-7.6796875</v>
      </c>
      <c r="O410" s="22"/>
      <c r="P410" s="22"/>
      <c r="Q410" s="22"/>
      <c r="R410" s="22"/>
      <c r="S410" s="22"/>
    </row>
    <row r="411" spans="1:19" x14ac:dyDescent="0.15">
      <c r="A411" s="22"/>
      <c r="B411" s="22"/>
      <c r="C411" s="22"/>
      <c r="D411" s="22"/>
      <c r="E411" s="22"/>
      <c r="F411" s="22"/>
      <c r="G411" s="25"/>
      <c r="H411" s="15">
        <v>20</v>
      </c>
      <c r="I411" s="15">
        <v>21</v>
      </c>
      <c r="J411" s="15">
        <f t="shared" si="97"/>
        <v>6</v>
      </c>
      <c r="K411" s="15">
        <f t="shared" si="96"/>
        <v>7</v>
      </c>
      <c r="L411" s="15">
        <v>-9.35</v>
      </c>
      <c r="M411" s="15">
        <v>1.28</v>
      </c>
      <c r="N411" s="15">
        <f t="shared" si="95"/>
        <v>-7.3046875</v>
      </c>
      <c r="O411" s="22"/>
      <c r="P411" s="22"/>
      <c r="Q411" s="22"/>
      <c r="R411" s="22"/>
      <c r="S411" s="22"/>
    </row>
    <row r="412" spans="1:19" x14ac:dyDescent="0.15">
      <c r="A412" s="22"/>
      <c r="B412" s="22"/>
      <c r="C412" s="22"/>
      <c r="D412" s="22"/>
      <c r="E412" s="22"/>
      <c r="F412" s="22"/>
      <c r="G412" s="25"/>
      <c r="H412" s="15">
        <v>20</v>
      </c>
      <c r="I412" s="15">
        <v>21</v>
      </c>
      <c r="J412" s="15">
        <f t="shared" si="97"/>
        <v>7</v>
      </c>
      <c r="K412" s="15">
        <f t="shared" si="96"/>
        <v>8</v>
      </c>
      <c r="L412" s="15">
        <v>-9.85</v>
      </c>
      <c r="M412" s="15">
        <v>1.29</v>
      </c>
      <c r="N412" s="15">
        <f t="shared" si="95"/>
        <v>-7.6356589147286815</v>
      </c>
      <c r="O412" s="22"/>
      <c r="P412" s="22"/>
      <c r="Q412" s="22"/>
      <c r="R412" s="22"/>
      <c r="S412" s="22"/>
    </row>
    <row r="413" spans="1:19" x14ac:dyDescent="0.15">
      <c r="A413" s="22"/>
      <c r="B413" s="22"/>
      <c r="C413" s="22"/>
      <c r="D413" s="22"/>
      <c r="E413" s="22"/>
      <c r="F413" s="22"/>
      <c r="G413" s="25"/>
      <c r="H413" s="15">
        <v>20</v>
      </c>
      <c r="I413" s="15">
        <v>21</v>
      </c>
      <c r="J413" s="15">
        <f t="shared" si="97"/>
        <v>8</v>
      </c>
      <c r="K413" s="15">
        <f t="shared" si="96"/>
        <v>9</v>
      </c>
      <c r="L413" s="15">
        <v>-6.33</v>
      </c>
      <c r="M413" s="15">
        <v>1.28</v>
      </c>
      <c r="N413" s="15">
        <f t="shared" si="95"/>
        <v>-4.9453125</v>
      </c>
      <c r="O413" s="22"/>
      <c r="P413" s="22"/>
      <c r="Q413" s="22"/>
      <c r="R413" s="22"/>
      <c r="S413" s="22"/>
    </row>
    <row r="414" spans="1:19" x14ac:dyDescent="0.15">
      <c r="A414" s="22"/>
      <c r="B414" s="22"/>
      <c r="C414" s="22"/>
      <c r="D414" s="22"/>
      <c r="E414" s="22"/>
      <c r="F414" s="22"/>
      <c r="G414" s="25"/>
      <c r="H414" s="15">
        <v>20</v>
      </c>
      <c r="I414" s="15">
        <v>21</v>
      </c>
      <c r="J414" s="15">
        <f t="shared" si="97"/>
        <v>9</v>
      </c>
      <c r="K414" s="15">
        <f t="shared" si="96"/>
        <v>10</v>
      </c>
      <c r="L414" s="15">
        <v>-7.8</v>
      </c>
      <c r="M414" s="15">
        <v>1.27</v>
      </c>
      <c r="N414" s="15">
        <f t="shared" si="95"/>
        <v>-6.1417322834645667</v>
      </c>
      <c r="O414" s="22"/>
      <c r="P414" s="22"/>
      <c r="Q414" s="22"/>
      <c r="R414" s="22"/>
      <c r="S414" s="22"/>
    </row>
    <row r="415" spans="1:19" x14ac:dyDescent="0.15">
      <c r="A415" s="22"/>
      <c r="B415" s="22"/>
      <c r="C415" s="22"/>
      <c r="D415" s="22"/>
      <c r="E415" s="22"/>
      <c r="F415" s="22"/>
      <c r="G415" s="25"/>
      <c r="H415" s="15">
        <v>20</v>
      </c>
      <c r="I415" s="15">
        <v>21</v>
      </c>
      <c r="J415" s="15">
        <f t="shared" si="97"/>
        <v>10</v>
      </c>
      <c r="K415" s="15">
        <f t="shared" si="96"/>
        <v>11</v>
      </c>
      <c r="L415" s="15">
        <v>-7.62</v>
      </c>
      <c r="M415" s="15">
        <v>1.26</v>
      </c>
      <c r="N415" s="15">
        <f t="shared" si="95"/>
        <v>-6.0476190476190474</v>
      </c>
      <c r="O415" s="22"/>
      <c r="P415" s="22"/>
      <c r="Q415" s="22"/>
      <c r="R415" s="22"/>
      <c r="S415" s="22"/>
    </row>
    <row r="416" spans="1:19" x14ac:dyDescent="0.15">
      <c r="A416" s="22"/>
      <c r="B416" s="22"/>
      <c r="C416" s="22"/>
      <c r="D416" s="22"/>
      <c r="E416" s="22"/>
      <c r="F416" s="22"/>
      <c r="G416" s="25"/>
      <c r="H416" s="15">
        <v>20</v>
      </c>
      <c r="I416" s="15">
        <v>21</v>
      </c>
      <c r="J416" s="15">
        <f t="shared" si="97"/>
        <v>11</v>
      </c>
      <c r="K416" s="15">
        <f t="shared" si="96"/>
        <v>12</v>
      </c>
      <c r="L416" s="15">
        <v>-6.82</v>
      </c>
      <c r="M416" s="15">
        <v>1.26</v>
      </c>
      <c r="N416" s="15">
        <f t="shared" si="95"/>
        <v>-5.412698412698413</v>
      </c>
      <c r="O416" s="22"/>
      <c r="P416" s="22"/>
      <c r="Q416" s="22"/>
      <c r="R416" s="22"/>
      <c r="S416" s="22"/>
    </row>
    <row r="417" spans="1:19" x14ac:dyDescent="0.15">
      <c r="A417" s="22"/>
      <c r="B417" s="22"/>
      <c r="C417" s="22"/>
      <c r="D417" s="22"/>
      <c r="E417" s="22"/>
      <c r="F417" s="22"/>
      <c r="G417" s="25"/>
      <c r="H417" s="15">
        <v>20</v>
      </c>
      <c r="I417" s="15">
        <v>21</v>
      </c>
      <c r="J417" s="15">
        <f t="shared" si="97"/>
        <v>12</v>
      </c>
      <c r="K417" s="15">
        <f t="shared" si="96"/>
        <v>13</v>
      </c>
      <c r="L417" s="15">
        <v>-9.11</v>
      </c>
      <c r="M417" s="15">
        <v>1.25</v>
      </c>
      <c r="N417" s="15">
        <f t="shared" si="95"/>
        <v>-7.2879999999999994</v>
      </c>
      <c r="O417" s="22"/>
      <c r="P417" s="22"/>
      <c r="Q417" s="22"/>
      <c r="R417" s="22"/>
      <c r="S417" s="22"/>
    </row>
    <row r="418" spans="1:19" x14ac:dyDescent="0.15">
      <c r="A418" s="22"/>
      <c r="B418" s="22"/>
      <c r="C418" s="22"/>
      <c r="D418" s="22"/>
      <c r="E418" s="22"/>
      <c r="F418" s="22"/>
      <c r="G418" s="25"/>
      <c r="H418" s="15">
        <v>20</v>
      </c>
      <c r="I418" s="15">
        <v>21</v>
      </c>
      <c r="J418" s="15">
        <f t="shared" si="97"/>
        <v>13</v>
      </c>
      <c r="K418" s="15">
        <f t="shared" si="96"/>
        <v>14</v>
      </c>
      <c r="L418" s="15">
        <v>-13.67</v>
      </c>
      <c r="M418" s="15">
        <v>1.21</v>
      </c>
      <c r="N418" s="15">
        <f t="shared" si="95"/>
        <v>-11.297520661157025</v>
      </c>
      <c r="O418" s="22"/>
      <c r="P418" s="22"/>
      <c r="Q418" s="22"/>
      <c r="R418" s="22"/>
      <c r="S418" s="22"/>
    </row>
    <row r="419" spans="1:19" x14ac:dyDescent="0.15">
      <c r="A419" s="22"/>
      <c r="B419" s="22"/>
      <c r="C419" s="22"/>
      <c r="D419" s="22"/>
      <c r="E419" s="22"/>
      <c r="F419" s="22"/>
      <c r="G419" s="25"/>
      <c r="H419" s="15">
        <v>20</v>
      </c>
      <c r="I419" s="15">
        <v>21</v>
      </c>
      <c r="J419" s="15">
        <f t="shared" si="97"/>
        <v>14</v>
      </c>
      <c r="K419" s="15">
        <f t="shared" si="96"/>
        <v>15</v>
      </c>
      <c r="L419" s="15">
        <v>-16.239999999999998</v>
      </c>
      <c r="M419" s="15">
        <v>1.21</v>
      </c>
      <c r="N419" s="15">
        <f t="shared" si="95"/>
        <v>-13.421487603305785</v>
      </c>
      <c r="O419" s="22"/>
      <c r="P419" s="22"/>
      <c r="Q419" s="22"/>
      <c r="R419" s="22"/>
      <c r="S419" s="22"/>
    </row>
    <row r="420" spans="1:19" x14ac:dyDescent="0.15">
      <c r="A420" s="22"/>
      <c r="B420" s="22"/>
      <c r="C420" s="22"/>
      <c r="D420" s="22"/>
      <c r="E420" s="22"/>
      <c r="F420" s="22"/>
      <c r="G420" s="25"/>
      <c r="H420" s="15">
        <v>20</v>
      </c>
      <c r="I420" s="15">
        <v>21</v>
      </c>
      <c r="J420" s="15">
        <f t="shared" si="97"/>
        <v>15</v>
      </c>
      <c r="K420" s="15">
        <f t="shared" si="96"/>
        <v>16</v>
      </c>
      <c r="L420" s="15">
        <v>-30.02</v>
      </c>
      <c r="M420" s="15">
        <v>1.26</v>
      </c>
      <c r="N420" s="15">
        <f t="shared" si="95"/>
        <v>-23.825396825396826</v>
      </c>
      <c r="O420" s="22"/>
      <c r="P420" s="22"/>
      <c r="Q420" s="22"/>
      <c r="R420" s="22"/>
      <c r="S420" s="22"/>
    </row>
    <row r="421" spans="1:19" x14ac:dyDescent="0.15">
      <c r="A421" s="22"/>
      <c r="B421" s="22"/>
      <c r="C421" s="22"/>
      <c r="D421" s="22"/>
      <c r="E421" s="22"/>
      <c r="F421" s="22"/>
      <c r="G421" s="25"/>
      <c r="H421" s="15">
        <v>20</v>
      </c>
      <c r="I421" s="15">
        <v>21</v>
      </c>
      <c r="J421" s="15">
        <f t="shared" si="97"/>
        <v>16</v>
      </c>
      <c r="K421" s="15">
        <f t="shared" si="96"/>
        <v>17</v>
      </c>
      <c r="L421" s="15">
        <v>-58.77</v>
      </c>
      <c r="M421" s="15">
        <v>1.27</v>
      </c>
      <c r="N421" s="15">
        <f t="shared" si="95"/>
        <v>-46.275590551181104</v>
      </c>
      <c r="O421" s="22"/>
      <c r="P421" s="22"/>
      <c r="Q421" s="22"/>
      <c r="R421" s="22"/>
      <c r="S421" s="22"/>
    </row>
    <row r="422" spans="1:19" x14ac:dyDescent="0.15">
      <c r="A422" s="22"/>
      <c r="B422" s="22"/>
      <c r="C422" s="22"/>
      <c r="D422" s="22"/>
      <c r="E422" s="22"/>
      <c r="F422" s="22"/>
      <c r="G422" s="25"/>
      <c r="H422" s="15">
        <v>20</v>
      </c>
      <c r="I422" s="15">
        <v>21</v>
      </c>
      <c r="J422" s="15">
        <f t="shared" si="97"/>
        <v>17</v>
      </c>
      <c r="K422" s="15">
        <f t="shared" si="96"/>
        <v>18</v>
      </c>
      <c r="L422" s="15">
        <v>-122.92</v>
      </c>
      <c r="M422" s="15">
        <v>1.26</v>
      </c>
      <c r="N422" s="15">
        <f t="shared" si="95"/>
        <v>-97.555555555555557</v>
      </c>
      <c r="O422" s="22"/>
      <c r="P422" s="22"/>
      <c r="Q422" s="22"/>
      <c r="R422" s="22"/>
      <c r="S422" s="22"/>
    </row>
    <row r="423" spans="1:19" x14ac:dyDescent="0.15">
      <c r="A423" s="22"/>
      <c r="B423" s="22"/>
      <c r="C423" s="22"/>
      <c r="D423" s="22"/>
      <c r="E423" s="22"/>
      <c r="F423" s="22"/>
      <c r="G423" s="25"/>
      <c r="H423" s="15">
        <v>20</v>
      </c>
      <c r="I423" s="15">
        <v>21</v>
      </c>
      <c r="J423" s="15">
        <f t="shared" si="97"/>
        <v>18</v>
      </c>
      <c r="K423" s="15">
        <f t="shared" si="96"/>
        <v>19</v>
      </c>
      <c r="L423" s="15">
        <v>-553.36</v>
      </c>
      <c r="M423" s="15">
        <v>1.26</v>
      </c>
      <c r="N423" s="15">
        <f t="shared" si="95"/>
        <v>-439.17460317460319</v>
      </c>
      <c r="O423" s="22"/>
      <c r="P423" s="22"/>
      <c r="Q423" s="22"/>
      <c r="R423" s="22"/>
      <c r="S423" s="22"/>
    </row>
    <row r="424" spans="1:19" x14ac:dyDescent="0.15">
      <c r="A424" s="22"/>
      <c r="B424" s="22"/>
      <c r="C424" s="22"/>
      <c r="D424" s="22"/>
      <c r="E424" s="22"/>
      <c r="F424" s="22"/>
      <c r="G424" s="25"/>
      <c r="H424" s="15">
        <v>21</v>
      </c>
      <c r="I424" s="15">
        <v>22</v>
      </c>
      <c r="J424" s="15">
        <f>I424+1</f>
        <v>23</v>
      </c>
      <c r="K424" s="15">
        <f>J424+1</f>
        <v>24</v>
      </c>
      <c r="L424" s="15">
        <v>-476.57</v>
      </c>
      <c r="M424" s="15">
        <v>1.29</v>
      </c>
      <c r="N424" s="15">
        <f t="shared" si="95"/>
        <v>-369.43410852713174</v>
      </c>
      <c r="O424" s="22"/>
      <c r="P424" s="22"/>
      <c r="Q424" s="22"/>
      <c r="R424" s="22"/>
      <c r="S424" s="22"/>
    </row>
    <row r="425" spans="1:19" x14ac:dyDescent="0.15">
      <c r="A425" s="22"/>
      <c r="B425" s="22"/>
      <c r="C425" s="22"/>
      <c r="D425" s="22"/>
      <c r="E425" s="22"/>
      <c r="F425" s="22"/>
      <c r="G425" s="25"/>
      <c r="H425" s="15">
        <v>21</v>
      </c>
      <c r="I425" s="15">
        <v>22</v>
      </c>
      <c r="J425" s="15">
        <f>J424+1</f>
        <v>24</v>
      </c>
      <c r="K425" s="15">
        <v>1</v>
      </c>
      <c r="L425" s="15">
        <v>-122.94</v>
      </c>
      <c r="M425" s="15">
        <v>1.29</v>
      </c>
      <c r="N425" s="15">
        <f t="shared" si="95"/>
        <v>-95.302325581395351</v>
      </c>
      <c r="O425" s="22"/>
      <c r="P425" s="22"/>
      <c r="Q425" s="22"/>
      <c r="R425" s="22"/>
      <c r="S425" s="22"/>
    </row>
    <row r="426" spans="1:19" x14ac:dyDescent="0.15">
      <c r="A426" s="22"/>
      <c r="B426" s="22"/>
      <c r="C426" s="22"/>
      <c r="D426" s="22"/>
      <c r="E426" s="22"/>
      <c r="F426" s="22"/>
      <c r="G426" s="25"/>
      <c r="H426" s="15">
        <v>21</v>
      </c>
      <c r="I426" s="15">
        <v>22</v>
      </c>
      <c r="J426" s="15">
        <v>1</v>
      </c>
      <c r="K426" s="15">
        <f t="shared" ref="K426:K444" si="98">K425+1</f>
        <v>2</v>
      </c>
      <c r="L426" s="15">
        <v>-56.1</v>
      </c>
      <c r="M426" s="15">
        <v>1.33</v>
      </c>
      <c r="N426" s="15">
        <f t="shared" si="95"/>
        <v>-42.180451127819545</v>
      </c>
      <c r="O426" s="22"/>
      <c r="P426" s="22"/>
      <c r="Q426" s="22"/>
      <c r="R426" s="22"/>
      <c r="S426" s="22"/>
    </row>
    <row r="427" spans="1:19" x14ac:dyDescent="0.15">
      <c r="A427" s="22"/>
      <c r="B427" s="22"/>
      <c r="C427" s="22"/>
      <c r="D427" s="22"/>
      <c r="E427" s="22"/>
      <c r="F427" s="22"/>
      <c r="G427" s="25"/>
      <c r="H427" s="15">
        <v>21</v>
      </c>
      <c r="I427" s="15">
        <v>22</v>
      </c>
      <c r="J427" s="15">
        <f t="shared" ref="J427:J444" si="99">J426+1</f>
        <v>2</v>
      </c>
      <c r="K427" s="15">
        <f t="shared" si="98"/>
        <v>3</v>
      </c>
      <c r="L427" s="15">
        <v>-27.52</v>
      </c>
      <c r="M427" s="15">
        <v>1.3</v>
      </c>
      <c r="N427" s="15">
        <f t="shared" si="95"/>
        <v>-21.169230769230769</v>
      </c>
      <c r="O427" s="22"/>
      <c r="P427" s="22"/>
      <c r="Q427" s="22"/>
      <c r="R427" s="22"/>
      <c r="S427" s="22"/>
    </row>
    <row r="428" spans="1:19" x14ac:dyDescent="0.15">
      <c r="A428" s="22"/>
      <c r="B428" s="22"/>
      <c r="C428" s="22"/>
      <c r="D428" s="22"/>
      <c r="E428" s="22"/>
      <c r="F428" s="22"/>
      <c r="G428" s="25"/>
      <c r="H428" s="15">
        <v>21</v>
      </c>
      <c r="I428" s="15">
        <v>22</v>
      </c>
      <c r="J428" s="15">
        <f t="shared" si="99"/>
        <v>3</v>
      </c>
      <c r="K428" s="15">
        <f t="shared" si="98"/>
        <v>4</v>
      </c>
      <c r="L428" s="15">
        <v>-18.97</v>
      </c>
      <c r="M428" s="15">
        <v>1.3</v>
      </c>
      <c r="N428" s="15">
        <f t="shared" si="95"/>
        <v>-14.59230769230769</v>
      </c>
      <c r="O428" s="22"/>
      <c r="P428" s="22"/>
      <c r="Q428" s="22"/>
      <c r="R428" s="22"/>
      <c r="S428" s="22"/>
    </row>
    <row r="429" spans="1:19" x14ac:dyDescent="0.15">
      <c r="A429" s="22"/>
      <c r="B429" s="22"/>
      <c r="C429" s="22"/>
      <c r="D429" s="22"/>
      <c r="E429" s="22"/>
      <c r="F429" s="22"/>
      <c r="G429" s="25"/>
      <c r="H429" s="15">
        <v>21</v>
      </c>
      <c r="I429" s="15">
        <v>22</v>
      </c>
      <c r="J429" s="15">
        <f t="shared" si="99"/>
        <v>4</v>
      </c>
      <c r="K429" s="15">
        <f t="shared" si="98"/>
        <v>5</v>
      </c>
      <c r="L429" s="15">
        <v>-14.4</v>
      </c>
      <c r="M429" s="15">
        <v>1.31</v>
      </c>
      <c r="N429" s="15">
        <f t="shared" si="95"/>
        <v>-10.992366412213741</v>
      </c>
      <c r="O429" s="22"/>
      <c r="P429" s="22"/>
      <c r="Q429" s="22"/>
      <c r="R429" s="22"/>
      <c r="S429" s="22"/>
    </row>
    <row r="430" spans="1:19" x14ac:dyDescent="0.15">
      <c r="A430" s="22"/>
      <c r="B430" s="22"/>
      <c r="C430" s="22"/>
      <c r="D430" s="22"/>
      <c r="E430" s="22"/>
      <c r="F430" s="22"/>
      <c r="G430" s="25"/>
      <c r="H430" s="15">
        <v>21</v>
      </c>
      <c r="I430" s="15">
        <v>22</v>
      </c>
      <c r="J430" s="15">
        <f t="shared" si="99"/>
        <v>5</v>
      </c>
      <c r="K430" s="15">
        <f t="shared" si="98"/>
        <v>6</v>
      </c>
      <c r="L430" s="15">
        <v>-9.41</v>
      </c>
      <c r="M430" s="15">
        <v>1.32</v>
      </c>
      <c r="N430" s="15">
        <f t="shared" si="95"/>
        <v>-7.1287878787878789</v>
      </c>
      <c r="O430" s="22"/>
      <c r="P430" s="22"/>
      <c r="Q430" s="22"/>
      <c r="R430" s="22"/>
      <c r="S430" s="22"/>
    </row>
    <row r="431" spans="1:19" x14ac:dyDescent="0.15">
      <c r="A431" s="22"/>
      <c r="B431" s="22"/>
      <c r="C431" s="22"/>
      <c r="D431" s="22"/>
      <c r="E431" s="22"/>
      <c r="F431" s="22"/>
      <c r="G431" s="25"/>
      <c r="H431" s="15">
        <v>21</v>
      </c>
      <c r="I431" s="15">
        <v>22</v>
      </c>
      <c r="J431" s="15">
        <f t="shared" si="99"/>
        <v>6</v>
      </c>
      <c r="K431" s="15">
        <f t="shared" si="98"/>
        <v>7</v>
      </c>
      <c r="L431" s="15">
        <v>-8.15</v>
      </c>
      <c r="M431" s="15">
        <v>1.32</v>
      </c>
      <c r="N431" s="15">
        <f t="shared" si="95"/>
        <v>-6.1742424242424239</v>
      </c>
      <c r="O431" s="22"/>
      <c r="P431" s="22"/>
      <c r="Q431" s="22"/>
      <c r="R431" s="22"/>
      <c r="S431" s="22"/>
    </row>
    <row r="432" spans="1:19" x14ac:dyDescent="0.15">
      <c r="A432" s="22"/>
      <c r="B432" s="22"/>
      <c r="C432" s="22"/>
      <c r="D432" s="22"/>
      <c r="E432" s="22"/>
      <c r="F432" s="22"/>
      <c r="G432" s="25"/>
      <c r="H432" s="15">
        <v>21</v>
      </c>
      <c r="I432" s="15">
        <v>22</v>
      </c>
      <c r="J432" s="15">
        <f t="shared" si="99"/>
        <v>7</v>
      </c>
      <c r="K432" s="15">
        <f t="shared" si="98"/>
        <v>8</v>
      </c>
      <c r="L432" s="15">
        <v>-8.59</v>
      </c>
      <c r="M432" s="15">
        <v>1.36</v>
      </c>
      <c r="N432" s="15">
        <f t="shared" si="95"/>
        <v>-6.3161764705882346</v>
      </c>
      <c r="O432" s="22"/>
      <c r="P432" s="22"/>
      <c r="Q432" s="22"/>
      <c r="R432" s="22"/>
      <c r="S432" s="22"/>
    </row>
    <row r="433" spans="1:19" x14ac:dyDescent="0.15">
      <c r="A433" s="22"/>
      <c r="B433" s="22"/>
      <c r="C433" s="22"/>
      <c r="D433" s="22"/>
      <c r="E433" s="22"/>
      <c r="F433" s="22"/>
      <c r="G433" s="25"/>
      <c r="H433" s="15">
        <v>21</v>
      </c>
      <c r="I433" s="15">
        <v>22</v>
      </c>
      <c r="J433" s="15">
        <f t="shared" si="99"/>
        <v>8</v>
      </c>
      <c r="K433" s="15">
        <f t="shared" si="98"/>
        <v>9</v>
      </c>
      <c r="L433" s="15">
        <v>-5.92</v>
      </c>
      <c r="M433" s="15">
        <v>1.33</v>
      </c>
      <c r="N433" s="15">
        <f t="shared" si="95"/>
        <v>-4.4511278195488719</v>
      </c>
      <c r="O433" s="22"/>
      <c r="P433" s="22"/>
      <c r="Q433" s="22"/>
      <c r="R433" s="22"/>
      <c r="S433" s="22"/>
    </row>
    <row r="434" spans="1:19" x14ac:dyDescent="0.15">
      <c r="A434" s="22"/>
      <c r="B434" s="22"/>
      <c r="C434" s="22"/>
      <c r="D434" s="22"/>
      <c r="E434" s="22"/>
      <c r="F434" s="22"/>
      <c r="G434" s="25"/>
      <c r="H434" s="15">
        <v>21</v>
      </c>
      <c r="I434" s="15">
        <v>22</v>
      </c>
      <c r="J434" s="15">
        <f t="shared" si="99"/>
        <v>9</v>
      </c>
      <c r="K434" s="15">
        <f t="shared" si="98"/>
        <v>10</v>
      </c>
      <c r="L434" s="15">
        <v>-6.21</v>
      </c>
      <c r="M434" s="15">
        <v>1.35</v>
      </c>
      <c r="N434" s="15">
        <f t="shared" si="95"/>
        <v>-4.5999999999999996</v>
      </c>
      <c r="O434" s="22"/>
      <c r="P434" s="22"/>
      <c r="Q434" s="22"/>
      <c r="R434" s="22"/>
      <c r="S434" s="22"/>
    </row>
    <row r="435" spans="1:19" x14ac:dyDescent="0.15">
      <c r="A435" s="22"/>
      <c r="B435" s="22"/>
      <c r="C435" s="22"/>
      <c r="D435" s="22"/>
      <c r="E435" s="22"/>
      <c r="F435" s="22"/>
      <c r="G435" s="25"/>
      <c r="H435" s="15">
        <v>21</v>
      </c>
      <c r="I435" s="15">
        <v>22</v>
      </c>
      <c r="J435" s="15">
        <f t="shared" si="99"/>
        <v>10</v>
      </c>
      <c r="K435" s="15">
        <f t="shared" si="98"/>
        <v>11</v>
      </c>
      <c r="L435" s="15">
        <v>-5.29</v>
      </c>
      <c r="M435" s="15">
        <v>1.38</v>
      </c>
      <c r="N435" s="15">
        <f t="shared" si="95"/>
        <v>-3.8333333333333335</v>
      </c>
      <c r="O435" s="22"/>
      <c r="P435" s="22"/>
      <c r="Q435" s="22"/>
      <c r="R435" s="22"/>
      <c r="S435" s="22"/>
    </row>
    <row r="436" spans="1:19" x14ac:dyDescent="0.15">
      <c r="A436" s="22"/>
      <c r="B436" s="22"/>
      <c r="C436" s="22"/>
      <c r="D436" s="22"/>
      <c r="E436" s="22"/>
      <c r="F436" s="22"/>
      <c r="G436" s="25"/>
      <c r="H436" s="15">
        <v>21</v>
      </c>
      <c r="I436" s="15">
        <v>22</v>
      </c>
      <c r="J436" s="15">
        <f t="shared" si="99"/>
        <v>11</v>
      </c>
      <c r="K436" s="15">
        <f t="shared" si="98"/>
        <v>12</v>
      </c>
      <c r="L436" s="15">
        <v>-7.99</v>
      </c>
      <c r="M436" s="15">
        <v>1.39</v>
      </c>
      <c r="N436" s="15">
        <f t="shared" si="95"/>
        <v>-5.7482014388489215</v>
      </c>
      <c r="O436" s="22"/>
      <c r="P436" s="22"/>
      <c r="Q436" s="22"/>
      <c r="R436" s="22"/>
      <c r="S436" s="22"/>
    </row>
    <row r="437" spans="1:19" x14ac:dyDescent="0.15">
      <c r="A437" s="22"/>
      <c r="B437" s="22"/>
      <c r="C437" s="22"/>
      <c r="D437" s="22"/>
      <c r="E437" s="22"/>
      <c r="F437" s="22"/>
      <c r="G437" s="25"/>
      <c r="H437" s="15">
        <v>21</v>
      </c>
      <c r="I437" s="15">
        <v>22</v>
      </c>
      <c r="J437" s="15">
        <f t="shared" si="99"/>
        <v>12</v>
      </c>
      <c r="K437" s="15">
        <f t="shared" si="98"/>
        <v>13</v>
      </c>
      <c r="L437" s="15">
        <v>-7.75</v>
      </c>
      <c r="M437" s="15">
        <v>1.4</v>
      </c>
      <c r="N437" s="15">
        <f t="shared" si="95"/>
        <v>-5.5357142857142865</v>
      </c>
      <c r="O437" s="22"/>
      <c r="P437" s="22"/>
      <c r="Q437" s="22"/>
      <c r="R437" s="22"/>
      <c r="S437" s="22"/>
    </row>
    <row r="438" spans="1:19" x14ac:dyDescent="0.15">
      <c r="A438" s="22"/>
      <c r="B438" s="22"/>
      <c r="C438" s="22"/>
      <c r="D438" s="22"/>
      <c r="E438" s="22"/>
      <c r="F438" s="22"/>
      <c r="G438" s="25"/>
      <c r="H438" s="15">
        <v>21</v>
      </c>
      <c r="I438" s="15">
        <v>22</v>
      </c>
      <c r="J438" s="15">
        <f t="shared" si="99"/>
        <v>13</v>
      </c>
      <c r="K438" s="15">
        <f t="shared" si="98"/>
        <v>14</v>
      </c>
      <c r="L438" s="15">
        <v>-10.119999999999999</v>
      </c>
      <c r="M438" s="15">
        <v>1.33</v>
      </c>
      <c r="N438" s="15">
        <f t="shared" si="95"/>
        <v>-7.6090225563909764</v>
      </c>
      <c r="O438" s="22"/>
      <c r="P438" s="22"/>
      <c r="Q438" s="22"/>
      <c r="R438" s="22"/>
      <c r="S438" s="22"/>
    </row>
    <row r="439" spans="1:19" x14ac:dyDescent="0.15">
      <c r="A439" s="22"/>
      <c r="B439" s="22"/>
      <c r="C439" s="22"/>
      <c r="D439" s="22"/>
      <c r="E439" s="22"/>
      <c r="F439" s="22"/>
      <c r="G439" s="25"/>
      <c r="H439" s="15">
        <v>21</v>
      </c>
      <c r="I439" s="15">
        <v>22</v>
      </c>
      <c r="J439" s="15">
        <f t="shared" si="99"/>
        <v>14</v>
      </c>
      <c r="K439" s="15">
        <f t="shared" si="98"/>
        <v>15</v>
      </c>
      <c r="L439" s="15">
        <v>-11.99</v>
      </c>
      <c r="M439" s="15">
        <v>1.34</v>
      </c>
      <c r="N439" s="15">
        <f t="shared" si="95"/>
        <v>-8.9477611940298498</v>
      </c>
      <c r="O439" s="22"/>
      <c r="P439" s="22"/>
      <c r="Q439" s="22"/>
      <c r="R439" s="22"/>
      <c r="S439" s="22"/>
    </row>
    <row r="440" spans="1:19" x14ac:dyDescent="0.15">
      <c r="A440" s="22"/>
      <c r="B440" s="22"/>
      <c r="C440" s="22"/>
      <c r="D440" s="22"/>
      <c r="E440" s="22"/>
      <c r="F440" s="22"/>
      <c r="G440" s="25"/>
      <c r="H440" s="15">
        <v>21</v>
      </c>
      <c r="I440" s="15">
        <v>22</v>
      </c>
      <c r="J440" s="15">
        <f t="shared" si="99"/>
        <v>15</v>
      </c>
      <c r="K440" s="15">
        <f t="shared" si="98"/>
        <v>16</v>
      </c>
      <c r="L440" s="15">
        <v>-18.350000000000001</v>
      </c>
      <c r="M440" s="15">
        <v>1.34</v>
      </c>
      <c r="N440" s="15">
        <f t="shared" si="95"/>
        <v>-13.694029850746269</v>
      </c>
      <c r="O440" s="22"/>
      <c r="P440" s="22"/>
      <c r="Q440" s="22"/>
      <c r="R440" s="22"/>
      <c r="S440" s="22"/>
    </row>
    <row r="441" spans="1:19" x14ac:dyDescent="0.15">
      <c r="A441" s="22"/>
      <c r="B441" s="22"/>
      <c r="C441" s="22"/>
      <c r="D441" s="22"/>
      <c r="E441" s="22"/>
      <c r="F441" s="22"/>
      <c r="G441" s="25"/>
      <c r="H441" s="15">
        <v>21</v>
      </c>
      <c r="I441" s="15">
        <v>22</v>
      </c>
      <c r="J441" s="15">
        <f t="shared" si="99"/>
        <v>16</v>
      </c>
      <c r="K441" s="15">
        <f t="shared" si="98"/>
        <v>17</v>
      </c>
      <c r="L441" s="15">
        <v>-30.67</v>
      </c>
      <c r="M441" s="15">
        <v>1.34</v>
      </c>
      <c r="N441" s="15">
        <f t="shared" si="95"/>
        <v>-22.888059701492537</v>
      </c>
      <c r="O441" s="22"/>
      <c r="P441" s="22"/>
      <c r="Q441" s="22"/>
      <c r="R441" s="22"/>
      <c r="S441" s="22"/>
    </row>
    <row r="442" spans="1:19" x14ac:dyDescent="0.15">
      <c r="A442" s="22"/>
      <c r="B442" s="22"/>
      <c r="C442" s="22"/>
      <c r="D442" s="22"/>
      <c r="E442" s="22"/>
      <c r="F442" s="22"/>
      <c r="G442" s="25"/>
      <c r="H442" s="15">
        <v>21</v>
      </c>
      <c r="I442" s="15">
        <v>22</v>
      </c>
      <c r="J442" s="15">
        <f t="shared" si="99"/>
        <v>17</v>
      </c>
      <c r="K442" s="15">
        <f t="shared" si="98"/>
        <v>18</v>
      </c>
      <c r="L442" s="15">
        <v>-54.92</v>
      </c>
      <c r="M442" s="15">
        <v>1.33</v>
      </c>
      <c r="N442" s="15">
        <f t="shared" si="95"/>
        <v>-41.293233082706763</v>
      </c>
      <c r="O442" s="22"/>
      <c r="P442" s="22"/>
      <c r="Q442" s="22"/>
      <c r="R442" s="22"/>
      <c r="S442" s="22"/>
    </row>
    <row r="443" spans="1:19" x14ac:dyDescent="0.15">
      <c r="A443" s="22"/>
      <c r="B443" s="22"/>
      <c r="C443" s="22"/>
      <c r="D443" s="22"/>
      <c r="E443" s="22"/>
      <c r="F443" s="22"/>
      <c r="G443" s="25"/>
      <c r="H443" s="15">
        <v>21</v>
      </c>
      <c r="I443" s="15">
        <v>22</v>
      </c>
      <c r="J443" s="15">
        <f t="shared" si="99"/>
        <v>18</v>
      </c>
      <c r="K443" s="15">
        <f t="shared" si="98"/>
        <v>19</v>
      </c>
      <c r="L443" s="15">
        <v>-151.69</v>
      </c>
      <c r="M443" s="15">
        <v>1.35</v>
      </c>
      <c r="N443" s="15">
        <f t="shared" si="95"/>
        <v>-112.36296296296295</v>
      </c>
      <c r="O443" s="22"/>
      <c r="P443" s="22"/>
      <c r="Q443" s="22"/>
      <c r="R443" s="22"/>
      <c r="S443" s="22"/>
    </row>
    <row r="444" spans="1:19" x14ac:dyDescent="0.15">
      <c r="A444" s="22"/>
      <c r="B444" s="22"/>
      <c r="C444" s="22"/>
      <c r="D444" s="22"/>
      <c r="E444" s="22"/>
      <c r="F444" s="22"/>
      <c r="G444" s="25"/>
      <c r="H444" s="15">
        <v>21</v>
      </c>
      <c r="I444" s="15">
        <v>22</v>
      </c>
      <c r="J444" s="15">
        <f t="shared" si="99"/>
        <v>19</v>
      </c>
      <c r="K444" s="15">
        <f t="shared" si="98"/>
        <v>20</v>
      </c>
      <c r="L444" s="15">
        <v>-566.83000000000004</v>
      </c>
      <c r="M444" s="15">
        <v>1.38</v>
      </c>
      <c r="N444" s="15">
        <f t="shared" si="95"/>
        <v>-410.74637681159425</v>
      </c>
      <c r="O444" s="22"/>
      <c r="P444" s="22"/>
      <c r="Q444" s="22"/>
      <c r="R444" s="22"/>
      <c r="S444" s="22"/>
    </row>
    <row r="445" spans="1:19" x14ac:dyDescent="0.15">
      <c r="A445" s="22"/>
      <c r="B445" s="22"/>
      <c r="C445" s="22"/>
      <c r="D445" s="22"/>
      <c r="E445" s="22"/>
      <c r="F445" s="22"/>
      <c r="G445" s="25"/>
      <c r="H445" s="15">
        <v>22</v>
      </c>
      <c r="I445" s="15">
        <v>23</v>
      </c>
      <c r="J445" s="15">
        <f>I445+1</f>
        <v>24</v>
      </c>
      <c r="K445" s="15">
        <v>1</v>
      </c>
      <c r="L445" s="15">
        <v>-625.54999999999995</v>
      </c>
      <c r="M445" s="15">
        <v>1.61</v>
      </c>
      <c r="N445" s="15">
        <f t="shared" si="95"/>
        <v>-388.54037267080741</v>
      </c>
      <c r="O445" s="22"/>
      <c r="P445" s="22"/>
      <c r="Q445" s="22"/>
      <c r="R445" s="22"/>
      <c r="S445" s="22"/>
    </row>
    <row r="446" spans="1:19" x14ac:dyDescent="0.15">
      <c r="A446" s="22"/>
      <c r="B446" s="22"/>
      <c r="C446" s="22"/>
      <c r="D446" s="22"/>
      <c r="E446" s="22"/>
      <c r="F446" s="22"/>
      <c r="G446" s="25"/>
      <c r="H446" s="15">
        <v>22</v>
      </c>
      <c r="I446" s="15">
        <v>23</v>
      </c>
      <c r="J446" s="15">
        <v>1</v>
      </c>
      <c r="K446" s="15">
        <f t="shared" ref="K446:K465" si="100">K445+1</f>
        <v>2</v>
      </c>
      <c r="L446" s="15">
        <v>-179.8</v>
      </c>
      <c r="M446" s="15">
        <v>1.6</v>
      </c>
      <c r="N446" s="15">
        <f t="shared" si="95"/>
        <v>-112.375</v>
      </c>
      <c r="O446" s="22"/>
      <c r="P446" s="22"/>
      <c r="Q446" s="22"/>
      <c r="R446" s="22"/>
      <c r="S446" s="22"/>
    </row>
    <row r="447" spans="1:19" x14ac:dyDescent="0.15">
      <c r="A447" s="22"/>
      <c r="B447" s="22"/>
      <c r="C447" s="22"/>
      <c r="D447" s="22"/>
      <c r="E447" s="22"/>
      <c r="F447" s="22"/>
      <c r="G447" s="25"/>
      <c r="H447" s="15">
        <v>22</v>
      </c>
      <c r="I447" s="15">
        <v>23</v>
      </c>
      <c r="J447" s="15">
        <f t="shared" ref="J447:J465" si="101">J446+1</f>
        <v>2</v>
      </c>
      <c r="K447" s="15">
        <f t="shared" si="100"/>
        <v>3</v>
      </c>
      <c r="L447" s="15">
        <v>-72.459999999999994</v>
      </c>
      <c r="M447" s="15">
        <v>1.61</v>
      </c>
      <c r="N447" s="15">
        <f t="shared" si="95"/>
        <v>-45.006211180124218</v>
      </c>
      <c r="O447" s="22"/>
      <c r="P447" s="22"/>
      <c r="Q447" s="22"/>
      <c r="R447" s="22"/>
      <c r="S447" s="22"/>
    </row>
    <row r="448" spans="1:19" x14ac:dyDescent="0.15">
      <c r="A448" s="22"/>
      <c r="B448" s="22"/>
      <c r="C448" s="22"/>
      <c r="D448" s="22"/>
      <c r="E448" s="22"/>
      <c r="F448" s="22"/>
      <c r="G448" s="25"/>
      <c r="H448" s="15">
        <v>22</v>
      </c>
      <c r="I448" s="15">
        <v>23</v>
      </c>
      <c r="J448" s="15">
        <f t="shared" si="101"/>
        <v>3</v>
      </c>
      <c r="K448" s="15">
        <f t="shared" si="100"/>
        <v>4</v>
      </c>
      <c r="L448" s="15">
        <v>-40.98</v>
      </c>
      <c r="M448" s="15">
        <v>1.63</v>
      </c>
      <c r="N448" s="15">
        <f t="shared" si="95"/>
        <v>-25.141104294478527</v>
      </c>
      <c r="O448" s="22"/>
      <c r="P448" s="22"/>
      <c r="Q448" s="22"/>
      <c r="R448" s="22"/>
      <c r="S448" s="22"/>
    </row>
    <row r="449" spans="1:19" x14ac:dyDescent="0.15">
      <c r="A449" s="22"/>
      <c r="B449" s="22"/>
      <c r="C449" s="22"/>
      <c r="D449" s="22"/>
      <c r="E449" s="22"/>
      <c r="F449" s="22"/>
      <c r="G449" s="25"/>
      <c r="H449" s="15">
        <v>22</v>
      </c>
      <c r="I449" s="15">
        <v>23</v>
      </c>
      <c r="J449" s="15">
        <f t="shared" si="101"/>
        <v>4</v>
      </c>
      <c r="K449" s="15">
        <f t="shared" si="100"/>
        <v>5</v>
      </c>
      <c r="L449" s="15">
        <v>-26.1</v>
      </c>
      <c r="M449" s="15">
        <v>1.59</v>
      </c>
      <c r="N449" s="15">
        <f t="shared" si="95"/>
        <v>-16.415094339622641</v>
      </c>
      <c r="O449" s="22"/>
      <c r="P449" s="22"/>
      <c r="Q449" s="22"/>
      <c r="R449" s="22"/>
      <c r="S449" s="22"/>
    </row>
    <row r="450" spans="1:19" x14ac:dyDescent="0.15">
      <c r="A450" s="22"/>
      <c r="B450" s="22"/>
      <c r="C450" s="22"/>
      <c r="D450" s="22"/>
      <c r="E450" s="22"/>
      <c r="F450" s="22"/>
      <c r="G450" s="25"/>
      <c r="H450" s="15">
        <v>22</v>
      </c>
      <c r="I450" s="15">
        <v>23</v>
      </c>
      <c r="J450" s="15">
        <f t="shared" si="101"/>
        <v>5</v>
      </c>
      <c r="K450" s="15">
        <f t="shared" si="100"/>
        <v>6</v>
      </c>
      <c r="L450" s="15">
        <v>-16.55</v>
      </c>
      <c r="M450" s="15">
        <v>1.63</v>
      </c>
      <c r="N450" s="15">
        <f t="shared" si="95"/>
        <v>-10.153374233128835</v>
      </c>
      <c r="O450" s="22"/>
      <c r="P450" s="22"/>
      <c r="Q450" s="22"/>
      <c r="R450" s="22"/>
      <c r="S450" s="22"/>
    </row>
    <row r="451" spans="1:19" x14ac:dyDescent="0.15">
      <c r="A451" s="22"/>
      <c r="B451" s="22"/>
      <c r="C451" s="22"/>
      <c r="D451" s="22"/>
      <c r="E451" s="22"/>
      <c r="F451" s="22"/>
      <c r="G451" s="25"/>
      <c r="H451" s="15">
        <v>22</v>
      </c>
      <c r="I451" s="15">
        <v>23</v>
      </c>
      <c r="J451" s="15">
        <f t="shared" si="101"/>
        <v>6</v>
      </c>
      <c r="K451" s="15">
        <f t="shared" si="100"/>
        <v>7</v>
      </c>
      <c r="L451" s="15">
        <v>-15.18</v>
      </c>
      <c r="M451" s="15">
        <v>1.61</v>
      </c>
      <c r="N451" s="15">
        <f t="shared" si="95"/>
        <v>-9.428571428571427</v>
      </c>
      <c r="O451" s="22"/>
      <c r="P451" s="22"/>
      <c r="Q451" s="22"/>
      <c r="R451" s="22"/>
      <c r="S451" s="22"/>
    </row>
    <row r="452" spans="1:19" x14ac:dyDescent="0.15">
      <c r="A452" s="22"/>
      <c r="B452" s="22"/>
      <c r="C452" s="22"/>
      <c r="D452" s="22"/>
      <c r="E452" s="22"/>
      <c r="F452" s="22"/>
      <c r="G452" s="25"/>
      <c r="H452" s="15">
        <v>22</v>
      </c>
      <c r="I452" s="15">
        <v>23</v>
      </c>
      <c r="J452" s="15">
        <f t="shared" si="101"/>
        <v>7</v>
      </c>
      <c r="K452" s="15">
        <f t="shared" si="100"/>
        <v>8</v>
      </c>
      <c r="L452" s="15">
        <v>-14.27</v>
      </c>
      <c r="M452" s="15">
        <v>1.61</v>
      </c>
      <c r="N452" s="15">
        <f t="shared" ref="N452:N507" si="102">L452/M452</f>
        <v>-8.8633540372670794</v>
      </c>
      <c r="O452" s="22"/>
      <c r="P452" s="22"/>
      <c r="Q452" s="22"/>
      <c r="R452" s="22"/>
      <c r="S452" s="22"/>
    </row>
    <row r="453" spans="1:19" x14ac:dyDescent="0.15">
      <c r="A453" s="22"/>
      <c r="B453" s="22"/>
      <c r="C453" s="22"/>
      <c r="D453" s="22"/>
      <c r="E453" s="22"/>
      <c r="F453" s="22"/>
      <c r="G453" s="25"/>
      <c r="H453" s="15">
        <v>22</v>
      </c>
      <c r="I453" s="15">
        <v>23</v>
      </c>
      <c r="J453" s="15">
        <f t="shared" si="101"/>
        <v>8</v>
      </c>
      <c r="K453" s="15">
        <f t="shared" si="100"/>
        <v>9</v>
      </c>
      <c r="L453" s="15">
        <v>-8.93</v>
      </c>
      <c r="M453" s="15">
        <v>1.59</v>
      </c>
      <c r="N453" s="15">
        <f t="shared" si="102"/>
        <v>-5.6163522012578611</v>
      </c>
      <c r="O453" s="22"/>
      <c r="P453" s="22"/>
      <c r="Q453" s="22"/>
      <c r="R453" s="22"/>
      <c r="S453" s="22"/>
    </row>
    <row r="454" spans="1:19" x14ac:dyDescent="0.15">
      <c r="A454" s="22"/>
      <c r="B454" s="22"/>
      <c r="C454" s="22"/>
      <c r="D454" s="22"/>
      <c r="E454" s="22"/>
      <c r="F454" s="22"/>
      <c r="G454" s="25"/>
      <c r="H454" s="15">
        <v>22</v>
      </c>
      <c r="I454" s="15">
        <v>23</v>
      </c>
      <c r="J454" s="15">
        <f t="shared" si="101"/>
        <v>9</v>
      </c>
      <c r="K454" s="15">
        <f t="shared" si="100"/>
        <v>10</v>
      </c>
      <c r="L454" s="15">
        <v>-9.3800000000000008</v>
      </c>
      <c r="M454" s="15">
        <v>1.58</v>
      </c>
      <c r="N454" s="15">
        <f t="shared" si="102"/>
        <v>-5.9367088607594942</v>
      </c>
      <c r="O454" s="22"/>
      <c r="P454" s="22"/>
      <c r="Q454" s="22"/>
      <c r="R454" s="22"/>
      <c r="S454" s="22"/>
    </row>
    <row r="455" spans="1:19" x14ac:dyDescent="0.15">
      <c r="A455" s="22"/>
      <c r="B455" s="22"/>
      <c r="C455" s="22"/>
      <c r="D455" s="22"/>
      <c r="E455" s="22"/>
      <c r="F455" s="22"/>
      <c r="G455" s="25"/>
      <c r="H455" s="15">
        <v>22</v>
      </c>
      <c r="I455" s="15">
        <v>23</v>
      </c>
      <c r="J455" s="15">
        <f t="shared" si="101"/>
        <v>10</v>
      </c>
      <c r="K455" s="15">
        <f t="shared" si="100"/>
        <v>11</v>
      </c>
      <c r="L455" s="15">
        <v>-9.81</v>
      </c>
      <c r="M455" s="15">
        <v>1.61</v>
      </c>
      <c r="N455" s="15">
        <f t="shared" si="102"/>
        <v>-6.0931677018633543</v>
      </c>
      <c r="O455" s="22"/>
      <c r="P455" s="22"/>
      <c r="Q455" s="22"/>
      <c r="R455" s="22"/>
      <c r="S455" s="22"/>
    </row>
    <row r="456" spans="1:19" x14ac:dyDescent="0.15">
      <c r="A456" s="22"/>
      <c r="B456" s="22"/>
      <c r="C456" s="22"/>
      <c r="D456" s="22"/>
      <c r="E456" s="22"/>
      <c r="F456" s="22"/>
      <c r="G456" s="25"/>
      <c r="H456" s="15">
        <v>22</v>
      </c>
      <c r="I456" s="15">
        <v>23</v>
      </c>
      <c r="J456" s="15">
        <f t="shared" si="101"/>
        <v>11</v>
      </c>
      <c r="K456" s="15">
        <f t="shared" si="100"/>
        <v>12</v>
      </c>
      <c r="L456" s="15">
        <v>-10.58</v>
      </c>
      <c r="M456" s="15">
        <v>1.58</v>
      </c>
      <c r="N456" s="15">
        <f t="shared" si="102"/>
        <v>-6.6962025316455698</v>
      </c>
      <c r="O456" s="22"/>
      <c r="P456" s="22"/>
      <c r="Q456" s="22"/>
      <c r="R456" s="22"/>
      <c r="S456" s="22"/>
    </row>
    <row r="457" spans="1:19" x14ac:dyDescent="0.15">
      <c r="A457" s="22"/>
      <c r="B457" s="22"/>
      <c r="C457" s="22"/>
      <c r="D457" s="22"/>
      <c r="E457" s="22"/>
      <c r="F457" s="22"/>
      <c r="G457" s="25"/>
      <c r="H457" s="15">
        <v>22</v>
      </c>
      <c r="I457" s="15">
        <v>23</v>
      </c>
      <c r="J457" s="15">
        <f t="shared" si="101"/>
        <v>12</v>
      </c>
      <c r="K457" s="15">
        <f t="shared" si="100"/>
        <v>13</v>
      </c>
      <c r="L457" s="15">
        <v>-8.74</v>
      </c>
      <c r="M457" s="15">
        <v>1.59</v>
      </c>
      <c r="N457" s="15">
        <f t="shared" si="102"/>
        <v>-5.4968553459119498</v>
      </c>
      <c r="O457" s="22"/>
      <c r="P457" s="22"/>
      <c r="Q457" s="22"/>
      <c r="R457" s="22"/>
      <c r="S457" s="22"/>
    </row>
    <row r="458" spans="1:19" x14ac:dyDescent="0.15">
      <c r="A458" s="22"/>
      <c r="B458" s="22"/>
      <c r="C458" s="22"/>
      <c r="D458" s="22"/>
      <c r="E458" s="22"/>
      <c r="F458" s="22"/>
      <c r="G458" s="25"/>
      <c r="H458" s="15">
        <v>22</v>
      </c>
      <c r="I458" s="15">
        <v>23</v>
      </c>
      <c r="J458" s="15">
        <f t="shared" si="101"/>
        <v>13</v>
      </c>
      <c r="K458" s="15">
        <f t="shared" si="100"/>
        <v>14</v>
      </c>
      <c r="L458" s="15">
        <v>-12.21</v>
      </c>
      <c r="M458" s="15">
        <v>1.6</v>
      </c>
      <c r="N458" s="15">
        <f t="shared" si="102"/>
        <v>-7.6312500000000005</v>
      </c>
      <c r="O458" s="22"/>
      <c r="P458" s="22"/>
      <c r="Q458" s="22"/>
      <c r="R458" s="22"/>
      <c r="S458" s="22"/>
    </row>
    <row r="459" spans="1:19" x14ac:dyDescent="0.15">
      <c r="A459" s="22"/>
      <c r="B459" s="22"/>
      <c r="C459" s="22"/>
      <c r="D459" s="22"/>
      <c r="E459" s="22"/>
      <c r="F459" s="22"/>
      <c r="G459" s="25"/>
      <c r="H459" s="15">
        <v>22</v>
      </c>
      <c r="I459" s="15">
        <v>23</v>
      </c>
      <c r="J459" s="15">
        <f t="shared" si="101"/>
        <v>14</v>
      </c>
      <c r="K459" s="15">
        <f t="shared" si="100"/>
        <v>15</v>
      </c>
      <c r="L459" s="15">
        <v>-12.38</v>
      </c>
      <c r="M459" s="15">
        <v>1.56</v>
      </c>
      <c r="N459" s="15">
        <f t="shared" si="102"/>
        <v>-7.9358974358974361</v>
      </c>
      <c r="O459" s="22"/>
      <c r="P459" s="22"/>
      <c r="Q459" s="22"/>
      <c r="R459" s="22"/>
      <c r="S459" s="22"/>
    </row>
    <row r="460" spans="1:19" x14ac:dyDescent="0.15">
      <c r="A460" s="22"/>
      <c r="B460" s="22"/>
      <c r="C460" s="22"/>
      <c r="D460" s="22"/>
      <c r="E460" s="22"/>
      <c r="F460" s="22"/>
      <c r="G460" s="25"/>
      <c r="H460" s="15">
        <v>22</v>
      </c>
      <c r="I460" s="15">
        <v>23</v>
      </c>
      <c r="J460" s="15">
        <f t="shared" si="101"/>
        <v>15</v>
      </c>
      <c r="K460" s="15">
        <f t="shared" si="100"/>
        <v>16</v>
      </c>
      <c r="L460" s="15">
        <v>-17.32</v>
      </c>
      <c r="M460" s="15">
        <v>1.58</v>
      </c>
      <c r="N460" s="15">
        <f t="shared" si="102"/>
        <v>-10.962025316455696</v>
      </c>
      <c r="O460" s="22"/>
      <c r="P460" s="22"/>
      <c r="Q460" s="22"/>
      <c r="R460" s="22"/>
      <c r="S460" s="22"/>
    </row>
    <row r="461" spans="1:19" x14ac:dyDescent="0.15">
      <c r="A461" s="22"/>
      <c r="B461" s="22"/>
      <c r="C461" s="22"/>
      <c r="D461" s="22"/>
      <c r="E461" s="22"/>
      <c r="F461" s="22"/>
      <c r="G461" s="25"/>
      <c r="H461" s="15">
        <v>22</v>
      </c>
      <c r="I461" s="15">
        <v>23</v>
      </c>
      <c r="J461" s="15">
        <f t="shared" si="101"/>
        <v>16</v>
      </c>
      <c r="K461" s="15">
        <f t="shared" si="100"/>
        <v>17</v>
      </c>
      <c r="L461" s="15">
        <v>-28.43</v>
      </c>
      <c r="M461" s="15">
        <v>1.55</v>
      </c>
      <c r="N461" s="15">
        <f t="shared" si="102"/>
        <v>-18.341935483870966</v>
      </c>
      <c r="O461" s="22"/>
      <c r="P461" s="22"/>
      <c r="Q461" s="22"/>
      <c r="R461" s="22"/>
      <c r="S461" s="22"/>
    </row>
    <row r="462" spans="1:19" x14ac:dyDescent="0.15">
      <c r="A462" s="22"/>
      <c r="B462" s="22"/>
      <c r="C462" s="22"/>
      <c r="D462" s="22"/>
      <c r="E462" s="22"/>
      <c r="F462" s="22"/>
      <c r="G462" s="25"/>
      <c r="H462" s="15">
        <v>22</v>
      </c>
      <c r="I462" s="15">
        <v>23</v>
      </c>
      <c r="J462" s="15">
        <f t="shared" si="101"/>
        <v>17</v>
      </c>
      <c r="K462" s="15">
        <f t="shared" si="100"/>
        <v>18</v>
      </c>
      <c r="L462" s="15">
        <v>-37.979999999999997</v>
      </c>
      <c r="M462" s="15">
        <v>1.57</v>
      </c>
      <c r="N462" s="15">
        <f t="shared" si="102"/>
        <v>-24.191082802547768</v>
      </c>
      <c r="O462" s="22"/>
      <c r="P462" s="22"/>
      <c r="Q462" s="22"/>
      <c r="R462" s="22"/>
      <c r="S462" s="22"/>
    </row>
    <row r="463" spans="1:19" x14ac:dyDescent="0.15">
      <c r="A463" s="22"/>
      <c r="B463" s="22"/>
      <c r="C463" s="22"/>
      <c r="D463" s="22"/>
      <c r="E463" s="22"/>
      <c r="F463" s="22"/>
      <c r="G463" s="25"/>
      <c r="H463" s="15">
        <v>22</v>
      </c>
      <c r="I463" s="15">
        <v>23</v>
      </c>
      <c r="J463" s="15">
        <f t="shared" si="101"/>
        <v>18</v>
      </c>
      <c r="K463" s="15">
        <f t="shared" si="100"/>
        <v>19</v>
      </c>
      <c r="L463" s="15">
        <v>-80</v>
      </c>
      <c r="M463" s="15">
        <v>1.55</v>
      </c>
      <c r="N463" s="15">
        <f t="shared" si="102"/>
        <v>-51.612903225806448</v>
      </c>
      <c r="O463" s="22"/>
      <c r="P463" s="22"/>
      <c r="Q463" s="22"/>
      <c r="R463" s="22"/>
      <c r="S463" s="22"/>
    </row>
    <row r="464" spans="1:19" x14ac:dyDescent="0.15">
      <c r="A464" s="22"/>
      <c r="B464" s="22"/>
      <c r="C464" s="22"/>
      <c r="D464" s="22"/>
      <c r="E464" s="22"/>
      <c r="F464" s="22"/>
      <c r="G464" s="25"/>
      <c r="H464" s="15">
        <v>22</v>
      </c>
      <c r="I464" s="15">
        <v>23</v>
      </c>
      <c r="J464" s="15">
        <f t="shared" si="101"/>
        <v>19</v>
      </c>
      <c r="K464" s="15">
        <f t="shared" si="100"/>
        <v>20</v>
      </c>
      <c r="L464" s="15">
        <v>-177.35</v>
      </c>
      <c r="M464" s="15">
        <v>1.55</v>
      </c>
      <c r="N464" s="15">
        <f t="shared" si="102"/>
        <v>-114.41935483870967</v>
      </c>
      <c r="O464" s="22"/>
      <c r="P464" s="22"/>
      <c r="Q464" s="22"/>
      <c r="R464" s="22"/>
      <c r="S464" s="22"/>
    </row>
    <row r="465" spans="1:19" x14ac:dyDescent="0.15">
      <c r="A465" s="22"/>
      <c r="B465" s="22"/>
      <c r="C465" s="22"/>
      <c r="D465" s="22"/>
      <c r="E465" s="22"/>
      <c r="F465" s="22"/>
      <c r="G465" s="25"/>
      <c r="H465" s="15">
        <v>22</v>
      </c>
      <c r="I465" s="15">
        <v>23</v>
      </c>
      <c r="J465" s="15">
        <f t="shared" si="101"/>
        <v>20</v>
      </c>
      <c r="K465" s="15">
        <f t="shared" si="100"/>
        <v>21</v>
      </c>
      <c r="L465" s="15">
        <v>-656.74</v>
      </c>
      <c r="M465" s="15">
        <v>1.55</v>
      </c>
      <c r="N465" s="15">
        <f t="shared" si="102"/>
        <v>-423.7032258064516</v>
      </c>
      <c r="O465" s="22"/>
      <c r="P465" s="22"/>
      <c r="Q465" s="22"/>
      <c r="R465" s="22"/>
      <c r="S465" s="22"/>
    </row>
    <row r="466" spans="1:19" x14ac:dyDescent="0.15">
      <c r="A466" s="22"/>
      <c r="B466" s="22"/>
      <c r="C466" s="22"/>
      <c r="D466" s="22"/>
      <c r="E466" s="22"/>
      <c r="F466" s="22"/>
      <c r="G466" s="25"/>
      <c r="H466" s="15">
        <v>23</v>
      </c>
      <c r="I466" s="15">
        <v>24</v>
      </c>
      <c r="J466" s="15">
        <v>1</v>
      </c>
      <c r="K466" s="15">
        <v>2</v>
      </c>
      <c r="L466" s="15">
        <v>-690.12</v>
      </c>
      <c r="M466" s="15">
        <v>1.64</v>
      </c>
      <c r="N466" s="15">
        <f t="shared" si="102"/>
        <v>-420.80487804878049</v>
      </c>
      <c r="O466" s="22"/>
      <c r="P466" s="22"/>
      <c r="Q466" s="22"/>
      <c r="R466" s="22"/>
      <c r="S466" s="22"/>
    </row>
    <row r="467" spans="1:19" x14ac:dyDescent="0.15">
      <c r="A467" s="22"/>
      <c r="B467" s="22"/>
      <c r="C467" s="22"/>
      <c r="D467" s="22"/>
      <c r="E467" s="22"/>
      <c r="F467" s="22"/>
      <c r="G467" s="25"/>
      <c r="H467" s="15">
        <v>23</v>
      </c>
      <c r="I467" s="15">
        <v>24</v>
      </c>
      <c r="J467" s="15">
        <f t="shared" ref="J467:J486" si="103">J466+1</f>
        <v>2</v>
      </c>
      <c r="K467" s="15">
        <f t="shared" ref="K467:K486" si="104">K466+1</f>
        <v>3</v>
      </c>
      <c r="L467" s="15">
        <v>-165.33</v>
      </c>
      <c r="M467" s="15">
        <v>1.64</v>
      </c>
      <c r="N467" s="15">
        <f t="shared" si="102"/>
        <v>-100.81097560975611</v>
      </c>
      <c r="O467" s="22"/>
      <c r="P467" s="22"/>
      <c r="Q467" s="22"/>
      <c r="R467" s="22"/>
      <c r="S467" s="22"/>
    </row>
    <row r="468" spans="1:19" x14ac:dyDescent="0.15">
      <c r="A468" s="22"/>
      <c r="B468" s="22"/>
      <c r="C468" s="22"/>
      <c r="D468" s="22"/>
      <c r="E468" s="22"/>
      <c r="F468" s="22"/>
      <c r="G468" s="25"/>
      <c r="H468" s="15">
        <v>23</v>
      </c>
      <c r="I468" s="15">
        <v>24</v>
      </c>
      <c r="J468" s="15">
        <f t="shared" si="103"/>
        <v>3</v>
      </c>
      <c r="K468" s="15">
        <f t="shared" si="104"/>
        <v>4</v>
      </c>
      <c r="L468" s="15">
        <v>-70.040000000000006</v>
      </c>
      <c r="M468" s="15">
        <v>1.65</v>
      </c>
      <c r="N468" s="15">
        <f t="shared" si="102"/>
        <v>-42.448484848484853</v>
      </c>
      <c r="O468" s="22"/>
      <c r="P468" s="22"/>
      <c r="Q468" s="22"/>
      <c r="R468" s="22"/>
      <c r="S468" s="22"/>
    </row>
    <row r="469" spans="1:19" x14ac:dyDescent="0.15">
      <c r="A469" s="22"/>
      <c r="B469" s="22"/>
      <c r="C469" s="22"/>
      <c r="D469" s="22"/>
      <c r="E469" s="22"/>
      <c r="F469" s="22"/>
      <c r="G469" s="25"/>
      <c r="H469" s="15">
        <v>23</v>
      </c>
      <c r="I469" s="15">
        <v>24</v>
      </c>
      <c r="J469" s="15">
        <f t="shared" si="103"/>
        <v>4</v>
      </c>
      <c r="K469" s="15">
        <f t="shared" si="104"/>
        <v>5</v>
      </c>
      <c r="L469" s="15">
        <v>-34.44</v>
      </c>
      <c r="M469" s="15">
        <v>1.66</v>
      </c>
      <c r="N469" s="15">
        <f t="shared" si="102"/>
        <v>-20.746987951807228</v>
      </c>
      <c r="O469" s="22"/>
      <c r="P469" s="22"/>
      <c r="Q469" s="22"/>
      <c r="R469" s="22"/>
      <c r="S469" s="22"/>
    </row>
    <row r="470" spans="1:19" x14ac:dyDescent="0.15">
      <c r="A470" s="22"/>
      <c r="B470" s="22"/>
      <c r="C470" s="22"/>
      <c r="D470" s="22"/>
      <c r="E470" s="22"/>
      <c r="F470" s="22"/>
      <c r="G470" s="25"/>
      <c r="H470" s="15">
        <v>23</v>
      </c>
      <c r="I470" s="15">
        <v>24</v>
      </c>
      <c r="J470" s="15">
        <f t="shared" si="103"/>
        <v>5</v>
      </c>
      <c r="K470" s="15">
        <f t="shared" si="104"/>
        <v>6</v>
      </c>
      <c r="L470" s="15">
        <v>-20.45</v>
      </c>
      <c r="M470" s="15">
        <v>1.67</v>
      </c>
      <c r="N470" s="15">
        <f t="shared" si="102"/>
        <v>-12.245508982035929</v>
      </c>
      <c r="O470" s="22"/>
      <c r="P470" s="22"/>
      <c r="Q470" s="22"/>
      <c r="R470" s="22"/>
      <c r="S470" s="22"/>
    </row>
    <row r="471" spans="1:19" x14ac:dyDescent="0.15">
      <c r="A471" s="22"/>
      <c r="B471" s="22"/>
      <c r="C471" s="22"/>
      <c r="D471" s="22"/>
      <c r="E471" s="22"/>
      <c r="F471" s="22"/>
      <c r="G471" s="25"/>
      <c r="H471" s="15">
        <v>23</v>
      </c>
      <c r="I471" s="15">
        <v>24</v>
      </c>
      <c r="J471" s="15">
        <f t="shared" si="103"/>
        <v>6</v>
      </c>
      <c r="K471" s="15">
        <f t="shared" si="104"/>
        <v>7</v>
      </c>
      <c r="L471" s="15">
        <v>-12.05</v>
      </c>
      <c r="M471" s="15">
        <v>1.66</v>
      </c>
      <c r="N471" s="15">
        <f t="shared" si="102"/>
        <v>-7.2590361445783138</v>
      </c>
      <c r="O471" s="22"/>
      <c r="P471" s="22"/>
      <c r="Q471" s="22"/>
      <c r="R471" s="22"/>
      <c r="S471" s="22"/>
    </row>
    <row r="472" spans="1:19" x14ac:dyDescent="0.15">
      <c r="A472" s="22"/>
      <c r="B472" s="22"/>
      <c r="C472" s="22"/>
      <c r="D472" s="22"/>
      <c r="E472" s="22"/>
      <c r="F472" s="22"/>
      <c r="G472" s="25"/>
      <c r="H472" s="15">
        <v>23</v>
      </c>
      <c r="I472" s="15">
        <v>24</v>
      </c>
      <c r="J472" s="15">
        <f t="shared" si="103"/>
        <v>7</v>
      </c>
      <c r="K472" s="15">
        <f t="shared" si="104"/>
        <v>8</v>
      </c>
      <c r="L472" s="15">
        <v>-7.81</v>
      </c>
      <c r="M472" s="15">
        <v>1.66</v>
      </c>
      <c r="N472" s="15">
        <f t="shared" si="102"/>
        <v>-4.7048192771084336</v>
      </c>
      <c r="O472" s="22"/>
      <c r="P472" s="22"/>
      <c r="Q472" s="22"/>
      <c r="R472" s="22"/>
      <c r="S472" s="22"/>
    </row>
    <row r="473" spans="1:19" x14ac:dyDescent="0.15">
      <c r="A473" s="22"/>
      <c r="B473" s="22"/>
      <c r="C473" s="22"/>
      <c r="D473" s="22"/>
      <c r="E473" s="22"/>
      <c r="F473" s="22"/>
      <c r="G473" s="25"/>
      <c r="H473" s="15">
        <v>23</v>
      </c>
      <c r="I473" s="15">
        <v>24</v>
      </c>
      <c r="J473" s="15">
        <f t="shared" si="103"/>
        <v>8</v>
      </c>
      <c r="K473" s="15">
        <f t="shared" si="104"/>
        <v>9</v>
      </c>
      <c r="L473" s="15">
        <v>-7.59</v>
      </c>
      <c r="M473" s="15">
        <v>1.66</v>
      </c>
      <c r="N473" s="15">
        <f t="shared" si="102"/>
        <v>-4.572289156626506</v>
      </c>
      <c r="O473" s="22"/>
      <c r="P473" s="22"/>
      <c r="Q473" s="22"/>
      <c r="R473" s="22"/>
      <c r="S473" s="22"/>
    </row>
    <row r="474" spans="1:19" x14ac:dyDescent="0.15">
      <c r="A474" s="22"/>
      <c r="B474" s="22"/>
      <c r="C474" s="22"/>
      <c r="D474" s="22"/>
      <c r="E474" s="22"/>
      <c r="F474" s="22"/>
      <c r="G474" s="25"/>
      <c r="H474" s="15">
        <v>23</v>
      </c>
      <c r="I474" s="15">
        <v>24</v>
      </c>
      <c r="J474" s="15">
        <f t="shared" si="103"/>
        <v>9</v>
      </c>
      <c r="K474" s="15">
        <f t="shared" si="104"/>
        <v>10</v>
      </c>
      <c r="L474" s="15">
        <v>-6.26</v>
      </c>
      <c r="M474" s="15">
        <v>1.68</v>
      </c>
      <c r="N474" s="15">
        <f t="shared" si="102"/>
        <v>-3.7261904761904763</v>
      </c>
      <c r="O474" s="22"/>
      <c r="P474" s="22"/>
      <c r="Q474" s="22"/>
      <c r="R474" s="22"/>
      <c r="S474" s="22"/>
    </row>
    <row r="475" spans="1:19" x14ac:dyDescent="0.15">
      <c r="A475" s="22"/>
      <c r="B475" s="22"/>
      <c r="C475" s="22"/>
      <c r="D475" s="22"/>
      <c r="E475" s="22"/>
      <c r="F475" s="22"/>
      <c r="G475" s="25"/>
      <c r="H475" s="15">
        <v>23</v>
      </c>
      <c r="I475" s="15">
        <v>24</v>
      </c>
      <c r="J475" s="15">
        <f t="shared" si="103"/>
        <v>10</v>
      </c>
      <c r="K475" s="15">
        <f t="shared" si="104"/>
        <v>11</v>
      </c>
      <c r="L475" s="15">
        <v>-4.6100000000000003</v>
      </c>
      <c r="M475" s="15">
        <v>1.66</v>
      </c>
      <c r="N475" s="15">
        <f t="shared" si="102"/>
        <v>-2.7771084337349401</v>
      </c>
      <c r="O475" s="22"/>
      <c r="P475" s="22"/>
      <c r="Q475" s="22"/>
      <c r="R475" s="22"/>
      <c r="S475" s="22"/>
    </row>
    <row r="476" spans="1:19" x14ac:dyDescent="0.15">
      <c r="A476" s="22"/>
      <c r="B476" s="22"/>
      <c r="C476" s="22"/>
      <c r="D476" s="22"/>
      <c r="E476" s="22"/>
      <c r="F476" s="22"/>
      <c r="G476" s="25"/>
      <c r="H476" s="15">
        <v>23</v>
      </c>
      <c r="I476" s="15">
        <v>24</v>
      </c>
      <c r="J476" s="15">
        <f t="shared" si="103"/>
        <v>11</v>
      </c>
      <c r="K476" s="15">
        <f t="shared" si="104"/>
        <v>12</v>
      </c>
      <c r="L476" s="15">
        <v>-5.27</v>
      </c>
      <c r="M476" s="15">
        <v>1.66</v>
      </c>
      <c r="N476" s="15">
        <f t="shared" si="102"/>
        <v>-3.1746987951807228</v>
      </c>
      <c r="O476" s="22"/>
      <c r="P476" s="22"/>
      <c r="Q476" s="22"/>
      <c r="R476" s="22"/>
      <c r="S476" s="22"/>
    </row>
    <row r="477" spans="1:19" x14ac:dyDescent="0.15">
      <c r="A477" s="22"/>
      <c r="B477" s="22"/>
      <c r="C477" s="22"/>
      <c r="D477" s="22"/>
      <c r="E477" s="22"/>
      <c r="F477" s="22"/>
      <c r="G477" s="25"/>
      <c r="H477" s="15">
        <v>23</v>
      </c>
      <c r="I477" s="15">
        <v>24</v>
      </c>
      <c r="J477" s="15">
        <f t="shared" si="103"/>
        <v>12</v>
      </c>
      <c r="K477" s="15">
        <f t="shared" si="104"/>
        <v>13</v>
      </c>
      <c r="L477" s="15">
        <v>-6.39</v>
      </c>
      <c r="M477" s="15">
        <v>1.69</v>
      </c>
      <c r="N477" s="15">
        <f t="shared" si="102"/>
        <v>-3.7810650887573964</v>
      </c>
      <c r="O477" s="22"/>
      <c r="P477" s="22"/>
      <c r="Q477" s="22"/>
      <c r="R477" s="22"/>
      <c r="S477" s="22"/>
    </row>
    <row r="478" spans="1:19" x14ac:dyDescent="0.15">
      <c r="A478" s="22"/>
      <c r="B478" s="22"/>
      <c r="C478" s="22"/>
      <c r="D478" s="22"/>
      <c r="E478" s="22"/>
      <c r="F478" s="22"/>
      <c r="G478" s="25"/>
      <c r="H478" s="15">
        <v>23</v>
      </c>
      <c r="I478" s="15">
        <v>24</v>
      </c>
      <c r="J478" s="15">
        <f t="shared" si="103"/>
        <v>13</v>
      </c>
      <c r="K478" s="15">
        <f t="shared" si="104"/>
        <v>14</v>
      </c>
      <c r="L478" s="15">
        <v>-8.81</v>
      </c>
      <c r="M478" s="15">
        <v>1.72</v>
      </c>
      <c r="N478" s="15">
        <f t="shared" si="102"/>
        <v>-5.1220930232558146</v>
      </c>
      <c r="O478" s="22"/>
      <c r="P478" s="22"/>
      <c r="Q478" s="22"/>
      <c r="R478" s="22"/>
      <c r="S478" s="22"/>
    </row>
    <row r="479" spans="1:19" x14ac:dyDescent="0.15">
      <c r="A479" s="22"/>
      <c r="B479" s="22"/>
      <c r="C479" s="22"/>
      <c r="D479" s="22"/>
      <c r="E479" s="22"/>
      <c r="F479" s="22"/>
      <c r="G479" s="25"/>
      <c r="H479" s="15">
        <v>23</v>
      </c>
      <c r="I479" s="15">
        <v>24</v>
      </c>
      <c r="J479" s="15">
        <f t="shared" si="103"/>
        <v>14</v>
      </c>
      <c r="K479" s="15">
        <f t="shared" si="104"/>
        <v>15</v>
      </c>
      <c r="L479" s="15">
        <v>-7.56</v>
      </c>
      <c r="M479" s="15">
        <v>1.65</v>
      </c>
      <c r="N479" s="15">
        <f t="shared" si="102"/>
        <v>-4.581818181818182</v>
      </c>
      <c r="O479" s="22"/>
      <c r="P479" s="22"/>
      <c r="Q479" s="22"/>
      <c r="R479" s="22"/>
      <c r="S479" s="22"/>
    </row>
    <row r="480" spans="1:19" x14ac:dyDescent="0.15">
      <c r="A480" s="22"/>
      <c r="B480" s="22"/>
      <c r="C480" s="22"/>
      <c r="D480" s="22"/>
      <c r="E480" s="22"/>
      <c r="F480" s="22"/>
      <c r="G480" s="25"/>
      <c r="H480" s="15">
        <v>23</v>
      </c>
      <c r="I480" s="15">
        <v>24</v>
      </c>
      <c r="J480" s="15">
        <f t="shared" si="103"/>
        <v>15</v>
      </c>
      <c r="K480" s="15">
        <f t="shared" si="104"/>
        <v>16</v>
      </c>
      <c r="L480" s="15">
        <v>-10.64</v>
      </c>
      <c r="M480" s="15">
        <v>1.63</v>
      </c>
      <c r="N480" s="15">
        <f t="shared" si="102"/>
        <v>-6.5276073619631907</v>
      </c>
      <c r="O480" s="22"/>
      <c r="P480" s="22"/>
      <c r="Q480" s="22"/>
      <c r="R480" s="22"/>
      <c r="S480" s="22"/>
    </row>
    <row r="481" spans="1:19" x14ac:dyDescent="0.15">
      <c r="A481" s="22"/>
      <c r="B481" s="22"/>
      <c r="C481" s="22"/>
      <c r="D481" s="22"/>
      <c r="E481" s="22"/>
      <c r="F481" s="22"/>
      <c r="G481" s="25"/>
      <c r="H481" s="15">
        <v>23</v>
      </c>
      <c r="I481" s="15">
        <v>24</v>
      </c>
      <c r="J481" s="15">
        <f t="shared" si="103"/>
        <v>16</v>
      </c>
      <c r="K481" s="15">
        <f t="shared" si="104"/>
        <v>17</v>
      </c>
      <c r="L481" s="15">
        <v>-13.27</v>
      </c>
      <c r="M481" s="15">
        <v>1.66</v>
      </c>
      <c r="N481" s="15">
        <f t="shared" si="102"/>
        <v>-7.9939759036144578</v>
      </c>
      <c r="O481" s="22"/>
      <c r="P481" s="22"/>
      <c r="Q481" s="22"/>
      <c r="R481" s="22"/>
      <c r="S481" s="22"/>
    </row>
    <row r="482" spans="1:19" x14ac:dyDescent="0.15">
      <c r="A482" s="22"/>
      <c r="B482" s="22"/>
      <c r="C482" s="22"/>
      <c r="D482" s="22"/>
      <c r="E482" s="22"/>
      <c r="F482" s="22"/>
      <c r="G482" s="25"/>
      <c r="H482" s="15">
        <v>23</v>
      </c>
      <c r="I482" s="15">
        <v>24</v>
      </c>
      <c r="J482" s="15">
        <f t="shared" si="103"/>
        <v>17</v>
      </c>
      <c r="K482" s="15">
        <f t="shared" si="104"/>
        <v>18</v>
      </c>
      <c r="L482" s="15">
        <v>-21.68</v>
      </c>
      <c r="M482" s="15">
        <v>1.65</v>
      </c>
      <c r="N482" s="15">
        <f t="shared" si="102"/>
        <v>-13.139393939393941</v>
      </c>
      <c r="O482" s="22"/>
      <c r="P482" s="22"/>
      <c r="Q482" s="22"/>
      <c r="R482" s="22"/>
      <c r="S482" s="22"/>
    </row>
    <row r="483" spans="1:19" x14ac:dyDescent="0.15">
      <c r="A483" s="22"/>
      <c r="B483" s="22"/>
      <c r="C483" s="22"/>
      <c r="D483" s="22"/>
      <c r="E483" s="22"/>
      <c r="F483" s="22"/>
      <c r="G483" s="25"/>
      <c r="H483" s="15">
        <v>23</v>
      </c>
      <c r="I483" s="15">
        <v>24</v>
      </c>
      <c r="J483" s="15">
        <f t="shared" si="103"/>
        <v>18</v>
      </c>
      <c r="K483" s="15">
        <f t="shared" si="104"/>
        <v>19</v>
      </c>
      <c r="L483" s="15">
        <v>-41.19</v>
      </c>
      <c r="M483" s="15">
        <v>1.66</v>
      </c>
      <c r="N483" s="15">
        <f t="shared" si="102"/>
        <v>-24.813253012048193</v>
      </c>
      <c r="O483" s="22"/>
      <c r="P483" s="22"/>
      <c r="Q483" s="22"/>
      <c r="R483" s="22"/>
      <c r="S483" s="22"/>
    </row>
    <row r="484" spans="1:19" x14ac:dyDescent="0.15">
      <c r="A484" s="22"/>
      <c r="B484" s="22"/>
      <c r="C484" s="22"/>
      <c r="D484" s="22"/>
      <c r="E484" s="22"/>
      <c r="F484" s="22"/>
      <c r="G484" s="25"/>
      <c r="H484" s="15">
        <v>23</v>
      </c>
      <c r="I484" s="15">
        <v>24</v>
      </c>
      <c r="J484" s="15">
        <f t="shared" si="103"/>
        <v>19</v>
      </c>
      <c r="K484" s="15">
        <f t="shared" si="104"/>
        <v>20</v>
      </c>
      <c r="L484" s="15">
        <v>-72.63</v>
      </c>
      <c r="M484" s="15">
        <v>1.66</v>
      </c>
      <c r="N484" s="15">
        <f t="shared" si="102"/>
        <v>-43.753012048192772</v>
      </c>
      <c r="O484" s="22"/>
      <c r="P484" s="22"/>
      <c r="Q484" s="22"/>
      <c r="R484" s="22"/>
      <c r="S484" s="22"/>
    </row>
    <row r="485" spans="1:19" x14ac:dyDescent="0.15">
      <c r="A485" s="22"/>
      <c r="B485" s="22"/>
      <c r="C485" s="22"/>
      <c r="D485" s="22"/>
      <c r="E485" s="22"/>
      <c r="F485" s="22"/>
      <c r="G485" s="25"/>
      <c r="H485" s="15">
        <v>23</v>
      </c>
      <c r="I485" s="15">
        <v>24</v>
      </c>
      <c r="J485" s="15">
        <f t="shared" si="103"/>
        <v>20</v>
      </c>
      <c r="K485" s="15">
        <f t="shared" si="104"/>
        <v>21</v>
      </c>
      <c r="L485" s="15">
        <v>-170.92</v>
      </c>
      <c r="M485" s="15">
        <v>1.67</v>
      </c>
      <c r="N485" s="15">
        <f t="shared" si="102"/>
        <v>-102.34730538922156</v>
      </c>
      <c r="O485" s="22"/>
      <c r="P485" s="22"/>
      <c r="Q485" s="22"/>
      <c r="R485" s="22"/>
      <c r="S485" s="22"/>
    </row>
    <row r="486" spans="1:19" x14ac:dyDescent="0.15">
      <c r="A486" s="22"/>
      <c r="B486" s="22"/>
      <c r="C486" s="22"/>
      <c r="D486" s="22"/>
      <c r="E486" s="22"/>
      <c r="F486" s="22"/>
      <c r="G486" s="25"/>
      <c r="H486" s="15">
        <v>23</v>
      </c>
      <c r="I486" s="15">
        <v>24</v>
      </c>
      <c r="J486" s="15">
        <f t="shared" si="103"/>
        <v>21</v>
      </c>
      <c r="K486" s="15">
        <f t="shared" si="104"/>
        <v>22</v>
      </c>
      <c r="L486" s="15">
        <v>-642.91999999999996</v>
      </c>
      <c r="M486" s="15">
        <v>1.66</v>
      </c>
      <c r="N486" s="15">
        <f t="shared" si="102"/>
        <v>-387.30120481927707</v>
      </c>
      <c r="O486" s="22"/>
      <c r="P486" s="22"/>
      <c r="Q486" s="22"/>
      <c r="R486" s="22"/>
      <c r="S486" s="22"/>
    </row>
    <row r="487" spans="1:19" x14ac:dyDescent="0.15">
      <c r="A487" s="22"/>
      <c r="B487" s="22"/>
      <c r="C487" s="22"/>
      <c r="D487" s="22"/>
      <c r="E487" s="22"/>
      <c r="F487" s="22"/>
      <c r="G487" s="25"/>
      <c r="H487" s="15">
        <v>24</v>
      </c>
      <c r="I487" s="15">
        <v>1</v>
      </c>
      <c r="J487" s="15">
        <f>I487+1</f>
        <v>2</v>
      </c>
      <c r="K487" s="15">
        <f>J487+1</f>
        <v>3</v>
      </c>
      <c r="L487" s="15">
        <v>-498.77</v>
      </c>
      <c r="M487" s="15">
        <v>1.47</v>
      </c>
      <c r="N487" s="15">
        <f t="shared" si="102"/>
        <v>-339.29931972789115</v>
      </c>
      <c r="O487" s="22"/>
      <c r="P487" s="22"/>
      <c r="Q487" s="22"/>
      <c r="R487" s="22"/>
      <c r="S487" s="22"/>
    </row>
    <row r="488" spans="1:19" x14ac:dyDescent="0.15">
      <c r="A488" s="22"/>
      <c r="B488" s="22"/>
      <c r="C488" s="22"/>
      <c r="D488" s="22"/>
      <c r="E488" s="22"/>
      <c r="F488" s="22"/>
      <c r="G488" s="25"/>
      <c r="H488" s="15">
        <v>24</v>
      </c>
      <c r="I488" s="15">
        <v>1</v>
      </c>
      <c r="J488" s="15">
        <f t="shared" ref="J488:J507" si="105">J487+1</f>
        <v>3</v>
      </c>
      <c r="K488" s="15">
        <f t="shared" ref="K488:K507" si="106">K487+1</f>
        <v>4</v>
      </c>
      <c r="L488" s="15">
        <v>-139.38</v>
      </c>
      <c r="M488" s="15">
        <v>1.47</v>
      </c>
      <c r="N488" s="15">
        <f t="shared" si="102"/>
        <v>-94.816326530612244</v>
      </c>
      <c r="O488" s="22"/>
      <c r="P488" s="22"/>
      <c r="Q488" s="22"/>
      <c r="R488" s="22"/>
      <c r="S488" s="22"/>
    </row>
    <row r="489" spans="1:19" x14ac:dyDescent="0.15">
      <c r="A489" s="22"/>
      <c r="B489" s="22"/>
      <c r="C489" s="22"/>
      <c r="D489" s="22"/>
      <c r="E489" s="22"/>
      <c r="F489" s="22"/>
      <c r="G489" s="25"/>
      <c r="H489" s="15">
        <v>24</v>
      </c>
      <c r="I489" s="15">
        <v>1</v>
      </c>
      <c r="J489" s="15">
        <f t="shared" si="105"/>
        <v>4</v>
      </c>
      <c r="K489" s="15">
        <f t="shared" si="106"/>
        <v>5</v>
      </c>
      <c r="L489" s="15">
        <v>-57.29</v>
      </c>
      <c r="M489" s="15">
        <v>1.46</v>
      </c>
      <c r="N489" s="15">
        <f t="shared" si="102"/>
        <v>-39.239726027397261</v>
      </c>
      <c r="O489" s="22"/>
      <c r="P489" s="22"/>
      <c r="Q489" s="22"/>
      <c r="R489" s="22"/>
      <c r="S489" s="22"/>
    </row>
    <row r="490" spans="1:19" x14ac:dyDescent="0.15">
      <c r="A490" s="22"/>
      <c r="B490" s="22"/>
      <c r="C490" s="22"/>
      <c r="D490" s="22"/>
      <c r="E490" s="22"/>
      <c r="F490" s="22"/>
      <c r="G490" s="25"/>
      <c r="H490" s="15">
        <v>24</v>
      </c>
      <c r="I490" s="15">
        <v>1</v>
      </c>
      <c r="J490" s="15">
        <f t="shared" si="105"/>
        <v>5</v>
      </c>
      <c r="K490" s="15">
        <f t="shared" si="106"/>
        <v>6</v>
      </c>
      <c r="L490" s="15">
        <v>-31.13</v>
      </c>
      <c r="M490" s="15">
        <v>1.45</v>
      </c>
      <c r="N490" s="15">
        <f t="shared" si="102"/>
        <v>-21.468965517241379</v>
      </c>
      <c r="O490" s="22"/>
      <c r="P490" s="22"/>
      <c r="Q490" s="22"/>
      <c r="R490" s="22"/>
      <c r="S490" s="22"/>
    </row>
    <row r="491" spans="1:19" x14ac:dyDescent="0.15">
      <c r="A491" s="22"/>
      <c r="B491" s="22"/>
      <c r="C491" s="22"/>
      <c r="D491" s="22"/>
      <c r="E491" s="22"/>
      <c r="F491" s="22"/>
      <c r="G491" s="25"/>
      <c r="H491" s="15">
        <v>24</v>
      </c>
      <c r="I491" s="15">
        <v>1</v>
      </c>
      <c r="J491" s="15">
        <f t="shared" si="105"/>
        <v>6</v>
      </c>
      <c r="K491" s="15">
        <f t="shared" si="106"/>
        <v>7</v>
      </c>
      <c r="L491" s="15">
        <v>-21.02</v>
      </c>
      <c r="M491" s="15">
        <v>1.47</v>
      </c>
      <c r="N491" s="15">
        <f t="shared" si="102"/>
        <v>-14.299319727891156</v>
      </c>
      <c r="O491" s="22"/>
      <c r="P491" s="22"/>
      <c r="Q491" s="22"/>
      <c r="R491" s="22"/>
      <c r="S491" s="22"/>
    </row>
    <row r="492" spans="1:19" x14ac:dyDescent="0.15">
      <c r="A492" s="22"/>
      <c r="B492" s="22"/>
      <c r="C492" s="22"/>
      <c r="D492" s="22"/>
      <c r="E492" s="22"/>
      <c r="F492" s="22"/>
      <c r="G492" s="25"/>
      <c r="H492" s="15">
        <v>24</v>
      </c>
      <c r="I492" s="15">
        <v>1</v>
      </c>
      <c r="J492" s="15">
        <f t="shared" si="105"/>
        <v>7</v>
      </c>
      <c r="K492" s="15">
        <f t="shared" si="106"/>
        <v>8</v>
      </c>
      <c r="L492" s="15">
        <v>-16.670000000000002</v>
      </c>
      <c r="M492" s="15">
        <v>1.46</v>
      </c>
      <c r="N492" s="15">
        <f t="shared" si="102"/>
        <v>-11.417808219178083</v>
      </c>
      <c r="O492" s="22"/>
      <c r="P492" s="22"/>
      <c r="Q492" s="22"/>
      <c r="R492" s="22"/>
      <c r="S492" s="22"/>
    </row>
    <row r="493" spans="1:19" x14ac:dyDescent="0.15">
      <c r="A493" s="22"/>
      <c r="B493" s="22"/>
      <c r="C493" s="22"/>
      <c r="D493" s="22"/>
      <c r="E493" s="22"/>
      <c r="F493" s="22"/>
      <c r="G493" s="25"/>
      <c r="H493" s="15">
        <v>24</v>
      </c>
      <c r="I493" s="15">
        <v>1</v>
      </c>
      <c r="J493" s="15">
        <f t="shared" si="105"/>
        <v>8</v>
      </c>
      <c r="K493" s="15">
        <f t="shared" si="106"/>
        <v>9</v>
      </c>
      <c r="L493" s="15">
        <v>-9.23</v>
      </c>
      <c r="M493" s="15">
        <v>1.46</v>
      </c>
      <c r="N493" s="15">
        <f t="shared" si="102"/>
        <v>-6.3219178082191787</v>
      </c>
      <c r="O493" s="22"/>
      <c r="P493" s="22"/>
      <c r="Q493" s="22"/>
      <c r="R493" s="22"/>
      <c r="S493" s="22"/>
    </row>
    <row r="494" spans="1:19" x14ac:dyDescent="0.15">
      <c r="A494" s="22"/>
      <c r="B494" s="22"/>
      <c r="C494" s="22"/>
      <c r="D494" s="22"/>
      <c r="E494" s="22"/>
      <c r="F494" s="22"/>
      <c r="G494" s="25"/>
      <c r="H494" s="15">
        <v>24</v>
      </c>
      <c r="I494" s="15">
        <v>1</v>
      </c>
      <c r="J494" s="15">
        <f t="shared" si="105"/>
        <v>9</v>
      </c>
      <c r="K494" s="15">
        <f t="shared" si="106"/>
        <v>10</v>
      </c>
      <c r="L494" s="15">
        <v>-8.83</v>
      </c>
      <c r="M494" s="15">
        <v>1.46</v>
      </c>
      <c r="N494" s="15">
        <f t="shared" si="102"/>
        <v>-6.0479452054794525</v>
      </c>
      <c r="O494" s="22"/>
      <c r="P494" s="22"/>
      <c r="Q494" s="22"/>
      <c r="R494" s="22"/>
      <c r="S494" s="22"/>
    </row>
    <row r="495" spans="1:19" x14ac:dyDescent="0.15">
      <c r="A495" s="22"/>
      <c r="B495" s="22"/>
      <c r="C495" s="22"/>
      <c r="D495" s="22"/>
      <c r="E495" s="22"/>
      <c r="F495" s="22"/>
      <c r="G495" s="25"/>
      <c r="H495" s="15">
        <v>24</v>
      </c>
      <c r="I495" s="15">
        <v>1</v>
      </c>
      <c r="J495" s="15">
        <f t="shared" si="105"/>
        <v>10</v>
      </c>
      <c r="K495" s="15">
        <f t="shared" si="106"/>
        <v>11</v>
      </c>
      <c r="L495" s="15">
        <v>-7.92</v>
      </c>
      <c r="M495" s="15">
        <v>1.45</v>
      </c>
      <c r="N495" s="15">
        <f t="shared" si="102"/>
        <v>-5.4620689655172416</v>
      </c>
      <c r="O495" s="22"/>
      <c r="P495" s="22"/>
      <c r="Q495" s="22"/>
      <c r="R495" s="22"/>
      <c r="S495" s="22"/>
    </row>
    <row r="496" spans="1:19" x14ac:dyDescent="0.15">
      <c r="A496" s="22"/>
      <c r="B496" s="22"/>
      <c r="C496" s="22"/>
      <c r="D496" s="22"/>
      <c r="E496" s="22"/>
      <c r="F496" s="22"/>
      <c r="G496" s="25"/>
      <c r="H496" s="15">
        <v>24</v>
      </c>
      <c r="I496" s="15">
        <v>1</v>
      </c>
      <c r="J496" s="15">
        <f t="shared" si="105"/>
        <v>11</v>
      </c>
      <c r="K496" s="15">
        <f t="shared" si="106"/>
        <v>12</v>
      </c>
      <c r="L496" s="15">
        <v>-7.27</v>
      </c>
      <c r="M496" s="15">
        <v>1.45</v>
      </c>
      <c r="N496" s="15">
        <f t="shared" si="102"/>
        <v>-5.0137931034482754</v>
      </c>
      <c r="O496" s="22"/>
      <c r="P496" s="22"/>
      <c r="Q496" s="22"/>
      <c r="R496" s="22"/>
      <c r="S496" s="22"/>
    </row>
    <row r="497" spans="1:19" x14ac:dyDescent="0.15">
      <c r="A497" s="22"/>
      <c r="B497" s="22"/>
      <c r="C497" s="22"/>
      <c r="D497" s="22"/>
      <c r="E497" s="22"/>
      <c r="F497" s="22"/>
      <c r="G497" s="25"/>
      <c r="H497" s="15">
        <v>24</v>
      </c>
      <c r="I497" s="15">
        <v>1</v>
      </c>
      <c r="J497" s="15">
        <f t="shared" si="105"/>
        <v>12</v>
      </c>
      <c r="K497" s="15">
        <f t="shared" si="106"/>
        <v>13</v>
      </c>
      <c r="L497" s="15">
        <v>-6.26</v>
      </c>
      <c r="M497" s="15">
        <v>1.44</v>
      </c>
      <c r="N497" s="15">
        <f t="shared" si="102"/>
        <v>-4.3472222222222223</v>
      </c>
      <c r="O497" s="22"/>
      <c r="P497" s="22"/>
      <c r="Q497" s="22"/>
      <c r="R497" s="22"/>
      <c r="S497" s="22"/>
    </row>
    <row r="498" spans="1:19" x14ac:dyDescent="0.15">
      <c r="A498" s="22"/>
      <c r="B498" s="22"/>
      <c r="C498" s="22"/>
      <c r="D498" s="22"/>
      <c r="E498" s="22"/>
      <c r="F498" s="22"/>
      <c r="G498" s="25"/>
      <c r="H498" s="15">
        <v>24</v>
      </c>
      <c r="I498" s="15">
        <v>1</v>
      </c>
      <c r="J498" s="15">
        <f t="shared" si="105"/>
        <v>13</v>
      </c>
      <c r="K498" s="15">
        <f t="shared" si="106"/>
        <v>14</v>
      </c>
      <c r="L498" s="15">
        <v>-8.2899999999999991</v>
      </c>
      <c r="M498" s="15">
        <v>1.47</v>
      </c>
      <c r="N498" s="15">
        <f t="shared" si="102"/>
        <v>-5.6394557823129245</v>
      </c>
      <c r="O498" s="22"/>
      <c r="P498" s="22"/>
      <c r="Q498" s="22"/>
      <c r="R498" s="22"/>
      <c r="S498" s="22"/>
    </row>
    <row r="499" spans="1:19" x14ac:dyDescent="0.15">
      <c r="A499" s="22"/>
      <c r="B499" s="22"/>
      <c r="C499" s="22"/>
      <c r="D499" s="22"/>
      <c r="E499" s="22"/>
      <c r="F499" s="22"/>
      <c r="G499" s="25"/>
      <c r="H499" s="15">
        <v>24</v>
      </c>
      <c r="I499" s="15">
        <v>1</v>
      </c>
      <c r="J499" s="15">
        <f t="shared" si="105"/>
        <v>14</v>
      </c>
      <c r="K499" s="15">
        <f t="shared" si="106"/>
        <v>15</v>
      </c>
      <c r="L499" s="15">
        <v>-7.37</v>
      </c>
      <c r="M499" s="15">
        <v>1.43</v>
      </c>
      <c r="N499" s="15">
        <f t="shared" si="102"/>
        <v>-5.1538461538461542</v>
      </c>
      <c r="O499" s="22"/>
      <c r="P499" s="22"/>
      <c r="Q499" s="22"/>
      <c r="R499" s="22"/>
      <c r="S499" s="22"/>
    </row>
    <row r="500" spans="1:19" x14ac:dyDescent="0.15">
      <c r="A500" s="22"/>
      <c r="B500" s="22"/>
      <c r="C500" s="22"/>
      <c r="D500" s="22"/>
      <c r="E500" s="22"/>
      <c r="F500" s="22"/>
      <c r="G500" s="25"/>
      <c r="H500" s="15">
        <v>24</v>
      </c>
      <c r="I500" s="15">
        <v>1</v>
      </c>
      <c r="J500" s="15">
        <f t="shared" si="105"/>
        <v>15</v>
      </c>
      <c r="K500" s="15">
        <f t="shared" si="106"/>
        <v>16</v>
      </c>
      <c r="L500" s="15">
        <v>-8.7899999999999991</v>
      </c>
      <c r="M500" s="15">
        <v>1.45</v>
      </c>
      <c r="N500" s="15">
        <f t="shared" si="102"/>
        <v>-6.0620689655172413</v>
      </c>
      <c r="O500" s="22"/>
      <c r="P500" s="22"/>
      <c r="Q500" s="22"/>
      <c r="R500" s="22"/>
      <c r="S500" s="22"/>
    </row>
    <row r="501" spans="1:19" x14ac:dyDescent="0.15">
      <c r="A501" s="22"/>
      <c r="B501" s="22"/>
      <c r="C501" s="22"/>
      <c r="D501" s="22"/>
      <c r="E501" s="22"/>
      <c r="F501" s="22"/>
      <c r="G501" s="25"/>
      <c r="H501" s="15">
        <v>24</v>
      </c>
      <c r="I501" s="15">
        <v>1</v>
      </c>
      <c r="J501" s="15">
        <f t="shared" si="105"/>
        <v>16</v>
      </c>
      <c r="K501" s="15">
        <f t="shared" si="106"/>
        <v>17</v>
      </c>
      <c r="L501" s="15">
        <v>-12.35</v>
      </c>
      <c r="M501" s="15">
        <v>1.48</v>
      </c>
      <c r="N501" s="15">
        <f t="shared" si="102"/>
        <v>-8.3445945945945947</v>
      </c>
      <c r="O501" s="22"/>
      <c r="P501" s="22"/>
      <c r="Q501" s="22"/>
      <c r="R501" s="22"/>
      <c r="S501" s="22"/>
    </row>
    <row r="502" spans="1:19" x14ac:dyDescent="0.15">
      <c r="A502" s="22"/>
      <c r="B502" s="22"/>
      <c r="C502" s="22"/>
      <c r="D502" s="22"/>
      <c r="E502" s="22"/>
      <c r="F502" s="22"/>
      <c r="G502" s="25"/>
      <c r="H502" s="15">
        <v>24</v>
      </c>
      <c r="I502" s="15">
        <v>1</v>
      </c>
      <c r="J502" s="15">
        <f t="shared" si="105"/>
        <v>17</v>
      </c>
      <c r="K502" s="15">
        <f t="shared" si="106"/>
        <v>18</v>
      </c>
      <c r="L502" s="15">
        <v>-13.42</v>
      </c>
      <c r="M502" s="15">
        <v>1.44</v>
      </c>
      <c r="N502" s="15">
        <f t="shared" si="102"/>
        <v>-9.3194444444444446</v>
      </c>
      <c r="O502" s="22"/>
      <c r="P502" s="22"/>
      <c r="Q502" s="22"/>
      <c r="R502" s="22"/>
      <c r="S502" s="22"/>
    </row>
    <row r="503" spans="1:19" x14ac:dyDescent="0.15">
      <c r="A503" s="22"/>
      <c r="B503" s="22"/>
      <c r="C503" s="22"/>
      <c r="D503" s="22"/>
      <c r="E503" s="22"/>
      <c r="F503" s="22"/>
      <c r="G503" s="25"/>
      <c r="H503" s="15">
        <v>24</v>
      </c>
      <c r="I503" s="15">
        <v>1</v>
      </c>
      <c r="J503" s="15">
        <f t="shared" si="105"/>
        <v>18</v>
      </c>
      <c r="K503" s="15">
        <f t="shared" si="106"/>
        <v>19</v>
      </c>
      <c r="L503" s="15">
        <v>-22.75</v>
      </c>
      <c r="M503" s="15">
        <v>1.46</v>
      </c>
      <c r="N503" s="15">
        <f t="shared" si="102"/>
        <v>-15.582191780821919</v>
      </c>
      <c r="O503" s="22"/>
      <c r="P503" s="22"/>
      <c r="Q503" s="22"/>
      <c r="R503" s="22"/>
      <c r="S503" s="22"/>
    </row>
    <row r="504" spans="1:19" x14ac:dyDescent="0.15">
      <c r="A504" s="22"/>
      <c r="B504" s="22"/>
      <c r="C504" s="22"/>
      <c r="D504" s="22"/>
      <c r="E504" s="22"/>
      <c r="F504" s="22"/>
      <c r="G504" s="25"/>
      <c r="H504" s="15">
        <v>24</v>
      </c>
      <c r="I504" s="15">
        <v>1</v>
      </c>
      <c r="J504" s="15">
        <f t="shared" si="105"/>
        <v>19</v>
      </c>
      <c r="K504" s="15">
        <f t="shared" si="106"/>
        <v>20</v>
      </c>
      <c r="L504" s="15">
        <v>-35.29</v>
      </c>
      <c r="M504" s="15">
        <v>1.48</v>
      </c>
      <c r="N504" s="15">
        <f t="shared" si="102"/>
        <v>-23.844594594594593</v>
      </c>
      <c r="O504" s="22"/>
      <c r="P504" s="22"/>
      <c r="Q504" s="22"/>
      <c r="R504" s="22"/>
      <c r="S504" s="22"/>
    </row>
    <row r="505" spans="1:19" x14ac:dyDescent="0.15">
      <c r="A505" s="22"/>
      <c r="B505" s="22"/>
      <c r="C505" s="22"/>
      <c r="D505" s="22"/>
      <c r="E505" s="22"/>
      <c r="F505" s="22"/>
      <c r="G505" s="25"/>
      <c r="H505" s="15">
        <v>24</v>
      </c>
      <c r="I505" s="15">
        <v>1</v>
      </c>
      <c r="J505" s="15">
        <f t="shared" si="105"/>
        <v>20</v>
      </c>
      <c r="K505" s="15">
        <f t="shared" si="106"/>
        <v>21</v>
      </c>
      <c r="L505" s="15">
        <v>-61.27</v>
      </c>
      <c r="M505" s="15">
        <v>1.46</v>
      </c>
      <c r="N505" s="15">
        <f t="shared" si="102"/>
        <v>-41.965753424657535</v>
      </c>
      <c r="O505" s="22"/>
      <c r="P505" s="22"/>
      <c r="Q505" s="22"/>
      <c r="R505" s="22"/>
      <c r="S505" s="22"/>
    </row>
    <row r="506" spans="1:19" x14ac:dyDescent="0.15">
      <c r="A506" s="22"/>
      <c r="B506" s="22"/>
      <c r="C506" s="22"/>
      <c r="D506" s="22"/>
      <c r="E506" s="22"/>
      <c r="F506" s="22"/>
      <c r="G506" s="25"/>
      <c r="H506" s="15">
        <v>24</v>
      </c>
      <c r="I506" s="15">
        <v>1</v>
      </c>
      <c r="J506" s="15">
        <f t="shared" si="105"/>
        <v>21</v>
      </c>
      <c r="K506" s="15">
        <f t="shared" si="106"/>
        <v>22</v>
      </c>
      <c r="L506" s="15">
        <v>-142.01</v>
      </c>
      <c r="M506" s="15">
        <v>1.44</v>
      </c>
      <c r="N506" s="15">
        <f t="shared" si="102"/>
        <v>-98.618055555555557</v>
      </c>
      <c r="O506" s="22"/>
      <c r="P506" s="22"/>
      <c r="Q506" s="22"/>
      <c r="R506" s="22"/>
      <c r="S506" s="22"/>
    </row>
    <row r="507" spans="1:19" x14ac:dyDescent="0.15">
      <c r="A507" s="22"/>
      <c r="B507" s="22"/>
      <c r="C507" s="22"/>
      <c r="D507" s="22"/>
      <c r="E507" s="22"/>
      <c r="F507" s="22"/>
      <c r="G507" s="25"/>
      <c r="H507" s="15">
        <v>24</v>
      </c>
      <c r="I507" s="15">
        <v>1</v>
      </c>
      <c r="J507" s="15">
        <f t="shared" si="105"/>
        <v>22</v>
      </c>
      <c r="K507" s="15">
        <f t="shared" si="106"/>
        <v>23</v>
      </c>
      <c r="L507" s="22">
        <v>-586.72</v>
      </c>
      <c r="M507" s="15">
        <v>1.45</v>
      </c>
      <c r="N507" s="15">
        <f t="shared" si="102"/>
        <v>-404.63448275862072</v>
      </c>
      <c r="O507" s="22"/>
      <c r="P507" s="22"/>
      <c r="Q507" s="22"/>
      <c r="R507" s="22"/>
      <c r="S507" s="22"/>
    </row>
    <row r="508" spans="1:19" x14ac:dyDescent="0.15">
      <c r="A508" s="22"/>
      <c r="B508" s="22"/>
      <c r="C508" s="22"/>
      <c r="D508" s="22"/>
      <c r="E508" s="22"/>
      <c r="F508" s="22"/>
      <c r="G508" s="25"/>
      <c r="H508" s="22"/>
      <c r="I508" s="22"/>
      <c r="J508" s="22"/>
      <c r="K508" s="22"/>
      <c r="L508" s="22"/>
      <c r="M508" s="22"/>
      <c r="N508" s="29"/>
      <c r="O508" s="22"/>
      <c r="P508" s="22"/>
      <c r="Q508" s="22"/>
      <c r="R508" s="22"/>
      <c r="S508" s="22"/>
    </row>
    <row r="509" spans="1:19" x14ac:dyDescent="0.15">
      <c r="A509" s="22"/>
      <c r="B509" s="22"/>
      <c r="C509" s="22"/>
      <c r="D509" s="22"/>
      <c r="E509" s="22"/>
      <c r="F509" s="22"/>
      <c r="G509" s="25"/>
      <c r="H509" s="22"/>
      <c r="I509" s="22"/>
      <c r="J509" s="22"/>
      <c r="K509" s="22"/>
      <c r="L509" s="22"/>
      <c r="M509" s="22"/>
      <c r="N509" s="29"/>
      <c r="O509" s="22"/>
      <c r="P509" s="22"/>
      <c r="Q509" s="22"/>
      <c r="R509" s="22"/>
      <c r="S509" s="22"/>
    </row>
  </sheetData>
  <mergeCells count="4">
    <mergeCell ref="A2:F2"/>
    <mergeCell ref="H2:M2"/>
    <mergeCell ref="O2:S2"/>
    <mergeCell ref="A1:S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4"/>
  <sheetViews>
    <sheetView workbookViewId="0">
      <selection activeCell="A2" sqref="A2"/>
    </sheetView>
  </sheetViews>
  <sheetFormatPr defaultRowHeight="13.5" x14ac:dyDescent="0.15"/>
  <sheetData>
    <row r="1" spans="1:6" x14ac:dyDescent="0.15">
      <c r="A1" s="58" t="s">
        <v>56</v>
      </c>
      <c r="B1" s="58"/>
      <c r="C1" s="58"/>
      <c r="D1" s="58"/>
      <c r="E1" s="58"/>
      <c r="F1" s="58"/>
    </row>
    <row r="2" spans="1:6" x14ac:dyDescent="0.15">
      <c r="A2" s="23" t="s">
        <v>37</v>
      </c>
      <c r="B2" s="23" t="s">
        <v>38</v>
      </c>
      <c r="C2" s="23" t="s">
        <v>39</v>
      </c>
      <c r="D2" s="23" t="s">
        <v>40</v>
      </c>
      <c r="E2" t="s">
        <v>3</v>
      </c>
      <c r="F2" t="s">
        <v>52</v>
      </c>
    </row>
    <row r="3" spans="1:6" x14ac:dyDescent="0.15">
      <c r="A3" s="23">
        <v>1</v>
      </c>
      <c r="B3" s="17">
        <f>A3+1</f>
        <v>2</v>
      </c>
      <c r="C3" s="23">
        <f>B3+1</f>
        <v>3</v>
      </c>
      <c r="D3" s="23">
        <f>C3+1</f>
        <v>4</v>
      </c>
      <c r="E3" s="23">
        <v>103.17</v>
      </c>
      <c r="F3" s="23">
        <v>0.03</v>
      </c>
    </row>
    <row r="4" spans="1:6" x14ac:dyDescent="0.15">
      <c r="A4" s="23">
        <v>1</v>
      </c>
      <c r="B4" s="17">
        <f t="shared" ref="B4:B9" si="0">B3+1</f>
        <v>3</v>
      </c>
      <c r="C4" s="23">
        <f t="shared" ref="C4:C9" si="1">C3+2</f>
        <v>5</v>
      </c>
      <c r="D4" s="23">
        <f t="shared" ref="D4:D9" si="2">D3+3</f>
        <v>7</v>
      </c>
      <c r="E4" s="23">
        <v>36.729999999999997</v>
      </c>
      <c r="F4" s="23">
        <v>0.03</v>
      </c>
    </row>
    <row r="5" spans="1:6" x14ac:dyDescent="0.15">
      <c r="A5" s="23">
        <v>1</v>
      </c>
      <c r="B5" s="17">
        <f t="shared" si="0"/>
        <v>4</v>
      </c>
      <c r="C5" s="23">
        <f t="shared" si="1"/>
        <v>7</v>
      </c>
      <c r="D5" s="23">
        <f t="shared" si="2"/>
        <v>10</v>
      </c>
      <c r="E5" s="23">
        <v>48.65</v>
      </c>
      <c r="F5" s="23">
        <v>0.03</v>
      </c>
    </row>
    <row r="6" spans="1:6" x14ac:dyDescent="0.15">
      <c r="A6" s="23">
        <v>1</v>
      </c>
      <c r="B6" s="17">
        <f t="shared" si="0"/>
        <v>5</v>
      </c>
      <c r="C6" s="23">
        <f t="shared" si="1"/>
        <v>9</v>
      </c>
      <c r="D6" s="23">
        <f t="shared" si="2"/>
        <v>13</v>
      </c>
      <c r="E6" s="23">
        <v>23.94</v>
      </c>
      <c r="F6" s="23">
        <v>0.03</v>
      </c>
    </row>
    <row r="7" spans="1:6" x14ac:dyDescent="0.15">
      <c r="A7" s="23">
        <v>1</v>
      </c>
      <c r="B7" s="17">
        <f t="shared" si="0"/>
        <v>6</v>
      </c>
      <c r="C7" s="23">
        <f t="shared" si="1"/>
        <v>11</v>
      </c>
      <c r="D7" s="23">
        <f t="shared" si="2"/>
        <v>16</v>
      </c>
      <c r="E7" s="23">
        <v>12.77</v>
      </c>
      <c r="F7" s="23">
        <v>0.03</v>
      </c>
    </row>
    <row r="8" spans="1:6" x14ac:dyDescent="0.15">
      <c r="A8" s="23">
        <v>1</v>
      </c>
      <c r="B8" s="17">
        <f t="shared" si="0"/>
        <v>7</v>
      </c>
      <c r="C8" s="23">
        <f t="shared" si="1"/>
        <v>13</v>
      </c>
      <c r="D8" s="23">
        <f t="shared" si="2"/>
        <v>19</v>
      </c>
      <c r="E8" s="23">
        <v>24.2</v>
      </c>
      <c r="F8" s="23">
        <v>0.03</v>
      </c>
    </row>
    <row r="9" spans="1:6" x14ac:dyDescent="0.15">
      <c r="A9" s="23">
        <v>1</v>
      </c>
      <c r="B9" s="17">
        <f t="shared" si="0"/>
        <v>8</v>
      </c>
      <c r="C9" s="23">
        <f t="shared" si="1"/>
        <v>15</v>
      </c>
      <c r="D9" s="23">
        <f t="shared" si="2"/>
        <v>22</v>
      </c>
      <c r="E9" s="23">
        <v>10.220000000000001</v>
      </c>
      <c r="F9" s="23">
        <v>0.03</v>
      </c>
    </row>
    <row r="10" spans="1:6" x14ac:dyDescent="0.15">
      <c r="A10" s="23">
        <v>2</v>
      </c>
      <c r="B10" s="17">
        <f>A10+1</f>
        <v>3</v>
      </c>
      <c r="C10" s="23">
        <f>B10+1</f>
        <v>4</v>
      </c>
      <c r="D10" s="23">
        <f>C10+1</f>
        <v>5</v>
      </c>
      <c r="E10" s="23">
        <v>71.849999999999994</v>
      </c>
      <c r="F10" s="23">
        <v>0.03</v>
      </c>
    </row>
    <row r="11" spans="1:6" x14ac:dyDescent="0.15">
      <c r="A11" s="23">
        <v>2</v>
      </c>
      <c r="B11" s="17">
        <f t="shared" ref="B11:B16" si="3">B10+1</f>
        <v>4</v>
      </c>
      <c r="C11" s="23">
        <f t="shared" ref="C11:C16" si="4">C10+2</f>
        <v>6</v>
      </c>
      <c r="D11" s="23">
        <f t="shared" ref="D11:D16" si="5">D10+3</f>
        <v>8</v>
      </c>
      <c r="E11" s="23">
        <v>41.69</v>
      </c>
      <c r="F11" s="23">
        <v>0.03</v>
      </c>
    </row>
    <row r="12" spans="1:6" x14ac:dyDescent="0.15">
      <c r="A12" s="23">
        <v>2</v>
      </c>
      <c r="B12" s="17">
        <f t="shared" si="3"/>
        <v>5</v>
      </c>
      <c r="C12" s="23">
        <f t="shared" si="4"/>
        <v>8</v>
      </c>
      <c r="D12" s="23">
        <f t="shared" si="5"/>
        <v>11</v>
      </c>
      <c r="E12" s="23">
        <v>44.91</v>
      </c>
      <c r="F12" s="23">
        <v>0.03</v>
      </c>
    </row>
    <row r="13" spans="1:6" x14ac:dyDescent="0.15">
      <c r="A13" s="23">
        <v>2</v>
      </c>
      <c r="B13" s="17">
        <f t="shared" si="3"/>
        <v>6</v>
      </c>
      <c r="C13" s="23">
        <f t="shared" si="4"/>
        <v>10</v>
      </c>
      <c r="D13" s="23">
        <f t="shared" si="5"/>
        <v>14</v>
      </c>
      <c r="E13" s="23">
        <v>15.19</v>
      </c>
      <c r="F13" s="23">
        <v>0.03</v>
      </c>
    </row>
    <row r="14" spans="1:6" x14ac:dyDescent="0.15">
      <c r="A14" s="23">
        <v>2</v>
      </c>
      <c r="B14" s="17">
        <f t="shared" si="3"/>
        <v>7</v>
      </c>
      <c r="C14" s="23">
        <f t="shared" si="4"/>
        <v>12</v>
      </c>
      <c r="D14" s="23">
        <f t="shared" si="5"/>
        <v>17</v>
      </c>
      <c r="E14" s="23">
        <v>13.23</v>
      </c>
      <c r="F14" s="23">
        <v>0.03</v>
      </c>
    </row>
    <row r="15" spans="1:6" x14ac:dyDescent="0.15">
      <c r="A15" s="23">
        <v>2</v>
      </c>
      <c r="B15" s="17">
        <f t="shared" si="3"/>
        <v>8</v>
      </c>
      <c r="C15" s="23">
        <f t="shared" si="4"/>
        <v>14</v>
      </c>
      <c r="D15" s="23">
        <f t="shared" si="5"/>
        <v>20</v>
      </c>
      <c r="E15" s="23">
        <v>7.75</v>
      </c>
      <c r="F15" s="23">
        <v>0.03</v>
      </c>
    </row>
    <row r="16" spans="1:6" x14ac:dyDescent="0.15">
      <c r="A16" s="23">
        <v>2</v>
      </c>
      <c r="B16" s="17">
        <f t="shared" si="3"/>
        <v>9</v>
      </c>
      <c r="C16" s="23">
        <f t="shared" si="4"/>
        <v>16</v>
      </c>
      <c r="D16" s="23">
        <f t="shared" si="5"/>
        <v>23</v>
      </c>
      <c r="E16" s="23">
        <v>2.04</v>
      </c>
      <c r="F16" s="23">
        <v>0.03</v>
      </c>
    </row>
    <row r="17" spans="1:6" x14ac:dyDescent="0.15">
      <c r="A17" s="23">
        <v>3</v>
      </c>
      <c r="B17" s="17">
        <f>A17+1</f>
        <v>4</v>
      </c>
      <c r="C17" s="23">
        <f>B17+1</f>
        <v>5</v>
      </c>
      <c r="D17" s="23">
        <f>C17+1</f>
        <v>6</v>
      </c>
      <c r="E17" s="23">
        <v>50.68</v>
      </c>
      <c r="F17" s="23">
        <v>0.03</v>
      </c>
    </row>
    <row r="18" spans="1:6" x14ac:dyDescent="0.15">
      <c r="A18" s="23">
        <v>3</v>
      </c>
      <c r="B18" s="17">
        <f t="shared" ref="B18:B23" si="6">B17+1</f>
        <v>5</v>
      </c>
      <c r="C18" s="23">
        <f t="shared" ref="C18:C23" si="7">C17+2</f>
        <v>7</v>
      </c>
      <c r="D18" s="23">
        <f t="shared" ref="D18:D23" si="8">D17+3</f>
        <v>9</v>
      </c>
      <c r="E18" s="23">
        <v>55.34</v>
      </c>
      <c r="F18" s="23">
        <v>0.03</v>
      </c>
    </row>
    <row r="19" spans="1:6" x14ac:dyDescent="0.15">
      <c r="A19" s="23">
        <v>3</v>
      </c>
      <c r="B19" s="17">
        <f t="shared" si="6"/>
        <v>6</v>
      </c>
      <c r="C19" s="23">
        <f t="shared" si="7"/>
        <v>9</v>
      </c>
      <c r="D19" s="23">
        <f t="shared" si="8"/>
        <v>12</v>
      </c>
      <c r="E19" s="23">
        <v>35.520000000000003</v>
      </c>
      <c r="F19" s="23">
        <v>0.03</v>
      </c>
    </row>
    <row r="20" spans="1:6" x14ac:dyDescent="0.15">
      <c r="A20" s="23">
        <v>3</v>
      </c>
      <c r="B20" s="17">
        <f t="shared" si="6"/>
        <v>7</v>
      </c>
      <c r="C20" s="23">
        <f t="shared" si="7"/>
        <v>11</v>
      </c>
      <c r="D20" s="23">
        <f t="shared" si="8"/>
        <v>15</v>
      </c>
      <c r="E20" s="23">
        <v>33.590000000000003</v>
      </c>
      <c r="F20" s="23">
        <v>0.03</v>
      </c>
    </row>
    <row r="21" spans="1:6" x14ac:dyDescent="0.15">
      <c r="A21" s="23">
        <v>3</v>
      </c>
      <c r="B21" s="17">
        <f t="shared" si="6"/>
        <v>8</v>
      </c>
      <c r="C21" s="23">
        <f t="shared" si="7"/>
        <v>13</v>
      </c>
      <c r="D21" s="23">
        <f t="shared" si="8"/>
        <v>18</v>
      </c>
      <c r="E21" s="23">
        <v>22.3</v>
      </c>
      <c r="F21" s="23">
        <v>0.03</v>
      </c>
    </row>
    <row r="22" spans="1:6" x14ac:dyDescent="0.15">
      <c r="A22" s="23">
        <v>3</v>
      </c>
      <c r="B22" s="17">
        <f t="shared" si="6"/>
        <v>9</v>
      </c>
      <c r="C22" s="23">
        <f t="shared" si="7"/>
        <v>15</v>
      </c>
      <c r="D22" s="23">
        <f t="shared" si="8"/>
        <v>21</v>
      </c>
      <c r="E22" s="23">
        <v>21.8</v>
      </c>
      <c r="F22" s="23">
        <v>0.03</v>
      </c>
    </row>
    <row r="23" spans="1:6" x14ac:dyDescent="0.15">
      <c r="A23" s="23">
        <v>3</v>
      </c>
      <c r="B23" s="17">
        <f t="shared" si="6"/>
        <v>10</v>
      </c>
      <c r="C23" s="23">
        <f t="shared" si="7"/>
        <v>17</v>
      </c>
      <c r="D23" s="23">
        <f t="shared" si="8"/>
        <v>24</v>
      </c>
      <c r="E23" s="23">
        <v>1.82</v>
      </c>
      <c r="F23" s="23">
        <v>0.03</v>
      </c>
    </row>
    <row r="24" spans="1:6" x14ac:dyDescent="0.15">
      <c r="A24" s="23">
        <v>4</v>
      </c>
      <c r="B24" s="17">
        <f>A24+1</f>
        <v>5</v>
      </c>
      <c r="C24" s="23">
        <f>B24+1</f>
        <v>6</v>
      </c>
      <c r="D24" s="23">
        <f>C24+1</f>
        <v>7</v>
      </c>
      <c r="E24" s="23">
        <v>100.44</v>
      </c>
      <c r="F24" s="23">
        <v>0.03</v>
      </c>
    </row>
    <row r="25" spans="1:6" x14ac:dyDescent="0.15">
      <c r="A25" s="23">
        <v>4</v>
      </c>
      <c r="B25" s="17">
        <f t="shared" ref="B25:B30" si="9">B24+1</f>
        <v>6</v>
      </c>
      <c r="C25" s="23">
        <f t="shared" ref="C25:C30" si="10">C24+2</f>
        <v>8</v>
      </c>
      <c r="D25" s="23">
        <f>D24+3</f>
        <v>10</v>
      </c>
      <c r="E25" s="23">
        <v>81.39</v>
      </c>
      <c r="F25" s="23">
        <v>0.03</v>
      </c>
    </row>
    <row r="26" spans="1:6" x14ac:dyDescent="0.15">
      <c r="A26" s="23">
        <v>4</v>
      </c>
      <c r="B26" s="17">
        <f t="shared" si="9"/>
        <v>7</v>
      </c>
      <c r="C26" s="23">
        <f t="shared" si="10"/>
        <v>10</v>
      </c>
      <c r="D26" s="23">
        <f>D25+3</f>
        <v>13</v>
      </c>
      <c r="E26" s="23">
        <v>77.66</v>
      </c>
      <c r="F26" s="23">
        <v>0.03</v>
      </c>
    </row>
    <row r="27" spans="1:6" x14ac:dyDescent="0.15">
      <c r="A27" s="23">
        <v>4</v>
      </c>
      <c r="B27" s="17">
        <f t="shared" si="9"/>
        <v>8</v>
      </c>
      <c r="C27" s="23">
        <f t="shared" si="10"/>
        <v>12</v>
      </c>
      <c r="D27" s="23">
        <f>D26+3</f>
        <v>16</v>
      </c>
      <c r="E27" s="23">
        <v>44.46</v>
      </c>
      <c r="F27" s="23">
        <v>0.03</v>
      </c>
    </row>
    <row r="28" spans="1:6" x14ac:dyDescent="0.15">
      <c r="A28" s="23">
        <v>4</v>
      </c>
      <c r="B28" s="17">
        <f t="shared" si="9"/>
        <v>9</v>
      </c>
      <c r="C28" s="23">
        <f t="shared" si="10"/>
        <v>14</v>
      </c>
      <c r="D28" s="23">
        <f>D27+3</f>
        <v>19</v>
      </c>
      <c r="E28" s="23">
        <v>18.13</v>
      </c>
      <c r="F28" s="23">
        <v>0.03</v>
      </c>
    </row>
    <row r="29" spans="1:6" x14ac:dyDescent="0.15">
      <c r="A29" s="23">
        <v>4</v>
      </c>
      <c r="B29" s="17">
        <f t="shared" si="9"/>
        <v>10</v>
      </c>
      <c r="C29" s="23">
        <f t="shared" si="10"/>
        <v>16</v>
      </c>
      <c r="D29" s="23">
        <f>D28+3</f>
        <v>22</v>
      </c>
      <c r="E29" s="23">
        <v>25.52</v>
      </c>
      <c r="F29" s="23">
        <v>0.03</v>
      </c>
    </row>
    <row r="30" spans="1:6" x14ac:dyDescent="0.15">
      <c r="A30" s="23">
        <v>4</v>
      </c>
      <c r="B30" s="17">
        <f t="shared" si="9"/>
        <v>11</v>
      </c>
      <c r="C30" s="23">
        <f t="shared" si="10"/>
        <v>18</v>
      </c>
      <c r="D30" s="23">
        <v>1</v>
      </c>
      <c r="E30" s="23">
        <v>9.91</v>
      </c>
      <c r="F30" s="23">
        <v>0.03</v>
      </c>
    </row>
    <row r="31" spans="1:6" x14ac:dyDescent="0.15">
      <c r="A31" s="23">
        <v>5</v>
      </c>
      <c r="B31" s="17">
        <f>A31+1</f>
        <v>6</v>
      </c>
      <c r="C31" s="23">
        <f>B31+1</f>
        <v>7</v>
      </c>
      <c r="D31" s="23">
        <f>C31+1</f>
        <v>8</v>
      </c>
      <c r="E31" s="23">
        <v>124.74</v>
      </c>
      <c r="F31" s="23">
        <v>0.03</v>
      </c>
    </row>
    <row r="32" spans="1:6" x14ac:dyDescent="0.15">
      <c r="A32" s="23">
        <v>5</v>
      </c>
      <c r="B32" s="17">
        <f t="shared" ref="B32:B37" si="11">B31+1</f>
        <v>7</v>
      </c>
      <c r="C32" s="23">
        <f t="shared" ref="C32:C37" si="12">C31+2</f>
        <v>9</v>
      </c>
      <c r="D32" s="23">
        <f>D31+3</f>
        <v>11</v>
      </c>
      <c r="E32" s="23">
        <v>85.74</v>
      </c>
      <c r="F32" s="23">
        <v>0.03</v>
      </c>
    </row>
    <row r="33" spans="1:6" x14ac:dyDescent="0.15">
      <c r="A33" s="23">
        <v>5</v>
      </c>
      <c r="B33" s="17">
        <f t="shared" si="11"/>
        <v>8</v>
      </c>
      <c r="C33" s="23">
        <f t="shared" si="12"/>
        <v>11</v>
      </c>
      <c r="D33" s="23">
        <f>D32+3</f>
        <v>14</v>
      </c>
      <c r="E33" s="23">
        <v>67.22</v>
      </c>
      <c r="F33" s="23">
        <v>0.03</v>
      </c>
    </row>
    <row r="34" spans="1:6" x14ac:dyDescent="0.15">
      <c r="A34" s="23">
        <v>5</v>
      </c>
      <c r="B34" s="17">
        <f t="shared" si="11"/>
        <v>9</v>
      </c>
      <c r="C34" s="23">
        <f t="shared" si="12"/>
        <v>13</v>
      </c>
      <c r="D34" s="23">
        <f>D33+3</f>
        <v>17</v>
      </c>
      <c r="E34" s="23">
        <v>42.32</v>
      </c>
      <c r="F34" s="23">
        <v>0.03</v>
      </c>
    </row>
    <row r="35" spans="1:6" x14ac:dyDescent="0.15">
      <c r="A35" s="23">
        <v>5</v>
      </c>
      <c r="B35" s="17">
        <f t="shared" si="11"/>
        <v>10</v>
      </c>
      <c r="C35" s="23">
        <f t="shared" si="12"/>
        <v>15</v>
      </c>
      <c r="D35" s="23">
        <f>D34+3</f>
        <v>20</v>
      </c>
      <c r="E35" s="23">
        <v>30.83</v>
      </c>
      <c r="F35" s="23">
        <v>0.03</v>
      </c>
    </row>
    <row r="36" spans="1:6" x14ac:dyDescent="0.15">
      <c r="A36" s="23">
        <v>5</v>
      </c>
      <c r="B36" s="17">
        <f t="shared" si="11"/>
        <v>11</v>
      </c>
      <c r="C36" s="23">
        <f t="shared" si="12"/>
        <v>17</v>
      </c>
      <c r="D36" s="23">
        <f>D35+3</f>
        <v>23</v>
      </c>
      <c r="E36" s="23">
        <v>18.46</v>
      </c>
      <c r="F36" s="23">
        <v>0.03</v>
      </c>
    </row>
    <row r="37" spans="1:6" x14ac:dyDescent="0.15">
      <c r="A37" s="23">
        <v>5</v>
      </c>
      <c r="B37" s="17">
        <f t="shared" si="11"/>
        <v>12</v>
      </c>
      <c r="C37" s="23">
        <f t="shared" si="12"/>
        <v>19</v>
      </c>
      <c r="D37" s="23">
        <v>2</v>
      </c>
      <c r="E37" s="23">
        <v>4.96</v>
      </c>
      <c r="F37" s="23">
        <v>0.03</v>
      </c>
    </row>
    <row r="38" spans="1:6" x14ac:dyDescent="0.15">
      <c r="A38" s="23">
        <v>6</v>
      </c>
      <c r="B38" s="17">
        <f>A38+1</f>
        <v>7</v>
      </c>
      <c r="C38" s="23">
        <f>B38+1</f>
        <v>8</v>
      </c>
      <c r="D38" s="23">
        <f>C38+1</f>
        <v>9</v>
      </c>
      <c r="E38" s="23">
        <v>115.9</v>
      </c>
      <c r="F38" s="23">
        <v>0.03</v>
      </c>
    </row>
    <row r="39" spans="1:6" x14ac:dyDescent="0.15">
      <c r="A39" s="23">
        <v>6</v>
      </c>
      <c r="B39" s="17">
        <f t="shared" ref="B39:B44" si="13">B38+1</f>
        <v>8</v>
      </c>
      <c r="C39" s="23">
        <f t="shared" ref="C39:C44" si="14">C38+2</f>
        <v>10</v>
      </c>
      <c r="D39" s="23">
        <f>D38+3</f>
        <v>12</v>
      </c>
      <c r="E39" s="23">
        <v>48.15</v>
      </c>
      <c r="F39" s="23">
        <v>0.03</v>
      </c>
    </row>
    <row r="40" spans="1:6" x14ac:dyDescent="0.15">
      <c r="A40" s="23">
        <v>6</v>
      </c>
      <c r="B40" s="17">
        <f t="shared" si="13"/>
        <v>9</v>
      </c>
      <c r="C40" s="23">
        <f t="shared" si="14"/>
        <v>12</v>
      </c>
      <c r="D40" s="23">
        <f>D39+3</f>
        <v>15</v>
      </c>
      <c r="E40" s="23">
        <v>39.979999999999997</v>
      </c>
      <c r="F40" s="23">
        <v>0.03</v>
      </c>
    </row>
    <row r="41" spans="1:6" x14ac:dyDescent="0.15">
      <c r="A41" s="23">
        <v>6</v>
      </c>
      <c r="B41" s="17">
        <f t="shared" si="13"/>
        <v>10</v>
      </c>
      <c r="C41" s="23">
        <f t="shared" si="14"/>
        <v>14</v>
      </c>
      <c r="D41" s="23">
        <f>D40+3</f>
        <v>18</v>
      </c>
      <c r="E41" s="23">
        <v>18.28</v>
      </c>
      <c r="F41" s="23">
        <v>0.03</v>
      </c>
    </row>
    <row r="42" spans="1:6" x14ac:dyDescent="0.15">
      <c r="A42" s="23">
        <v>6</v>
      </c>
      <c r="B42" s="17">
        <f t="shared" si="13"/>
        <v>11</v>
      </c>
      <c r="C42" s="23">
        <f t="shared" si="14"/>
        <v>16</v>
      </c>
      <c r="D42" s="23">
        <f>D41+3</f>
        <v>21</v>
      </c>
      <c r="E42" s="23">
        <v>9.02</v>
      </c>
      <c r="F42" s="23">
        <v>0.03</v>
      </c>
    </row>
    <row r="43" spans="1:6" x14ac:dyDescent="0.15">
      <c r="A43" s="23">
        <v>6</v>
      </c>
      <c r="B43" s="17">
        <f t="shared" si="13"/>
        <v>12</v>
      </c>
      <c r="C43" s="23">
        <f t="shared" si="14"/>
        <v>18</v>
      </c>
      <c r="D43" s="23">
        <f>D42+3</f>
        <v>24</v>
      </c>
      <c r="E43" s="23">
        <v>5.91</v>
      </c>
      <c r="F43" s="23">
        <v>0.03</v>
      </c>
    </row>
    <row r="44" spans="1:6" x14ac:dyDescent="0.15">
      <c r="A44" s="23">
        <v>6</v>
      </c>
      <c r="B44" s="17">
        <f t="shared" si="13"/>
        <v>13</v>
      </c>
      <c r="C44" s="23">
        <f t="shared" si="14"/>
        <v>20</v>
      </c>
      <c r="D44" s="23">
        <v>3</v>
      </c>
      <c r="E44" s="23">
        <v>3.94</v>
      </c>
      <c r="F44" s="23">
        <v>0.03</v>
      </c>
    </row>
    <row r="45" spans="1:6" x14ac:dyDescent="0.15">
      <c r="A45" s="23">
        <v>7</v>
      </c>
      <c r="B45" s="17">
        <f>A45+1</f>
        <v>8</v>
      </c>
      <c r="C45" s="23">
        <f>B45+1</f>
        <v>9</v>
      </c>
      <c r="D45" s="23">
        <f>C45+1</f>
        <v>10</v>
      </c>
      <c r="E45" s="23">
        <v>209.58</v>
      </c>
      <c r="F45" s="23">
        <v>0.03</v>
      </c>
    </row>
    <row r="46" spans="1:6" x14ac:dyDescent="0.15">
      <c r="A46" s="23">
        <v>7</v>
      </c>
      <c r="B46" s="17">
        <f t="shared" ref="B46:B51" si="15">B45+1</f>
        <v>9</v>
      </c>
      <c r="C46" s="23">
        <f t="shared" ref="C46:C51" si="16">C45+2</f>
        <v>11</v>
      </c>
      <c r="D46" s="23">
        <f>D45+3</f>
        <v>13</v>
      </c>
      <c r="E46" s="23">
        <v>109.62</v>
      </c>
      <c r="F46" s="23">
        <v>0.04</v>
      </c>
    </row>
    <row r="47" spans="1:6" x14ac:dyDescent="0.15">
      <c r="A47" s="23">
        <v>7</v>
      </c>
      <c r="B47" s="17">
        <f t="shared" si="15"/>
        <v>10</v>
      </c>
      <c r="C47" s="23">
        <f t="shared" si="16"/>
        <v>13</v>
      </c>
      <c r="D47" s="23">
        <f>D46+3</f>
        <v>16</v>
      </c>
      <c r="E47" s="23">
        <v>100</v>
      </c>
      <c r="F47" s="23">
        <v>0.04</v>
      </c>
    </row>
    <row r="48" spans="1:6" x14ac:dyDescent="0.15">
      <c r="A48" s="23">
        <v>7</v>
      </c>
      <c r="B48" s="17">
        <f t="shared" si="15"/>
        <v>11</v>
      </c>
      <c r="C48" s="23">
        <f t="shared" si="16"/>
        <v>15</v>
      </c>
      <c r="D48" s="23">
        <f>D47+3</f>
        <v>19</v>
      </c>
      <c r="E48" s="23">
        <v>34.22</v>
      </c>
      <c r="F48" s="23">
        <v>0.03</v>
      </c>
    </row>
    <row r="49" spans="1:6" x14ac:dyDescent="0.15">
      <c r="A49" s="23">
        <v>7</v>
      </c>
      <c r="B49" s="17">
        <f t="shared" si="15"/>
        <v>12</v>
      </c>
      <c r="C49" s="23">
        <f t="shared" si="16"/>
        <v>17</v>
      </c>
      <c r="D49" s="23">
        <f>D48+3</f>
        <v>22</v>
      </c>
      <c r="E49" s="23">
        <v>27.03</v>
      </c>
      <c r="F49" s="23">
        <v>0.03</v>
      </c>
    </row>
    <row r="50" spans="1:6" x14ac:dyDescent="0.15">
      <c r="A50" s="23">
        <v>7</v>
      </c>
      <c r="B50" s="17">
        <f t="shared" si="15"/>
        <v>13</v>
      </c>
      <c r="C50" s="23">
        <f t="shared" si="16"/>
        <v>19</v>
      </c>
      <c r="D50" s="23">
        <v>1</v>
      </c>
      <c r="E50" s="23">
        <v>24.03</v>
      </c>
      <c r="F50" s="23">
        <v>0.03</v>
      </c>
    </row>
    <row r="51" spans="1:6" x14ac:dyDescent="0.15">
      <c r="A51" s="23">
        <v>7</v>
      </c>
      <c r="B51" s="17">
        <f t="shared" si="15"/>
        <v>14</v>
      </c>
      <c r="C51" s="23">
        <f t="shared" si="16"/>
        <v>21</v>
      </c>
      <c r="D51" s="23">
        <f>D50+3</f>
        <v>4</v>
      </c>
      <c r="E51" s="23">
        <v>9.4499999999999993</v>
      </c>
      <c r="F51" s="23">
        <v>0.04</v>
      </c>
    </row>
    <row r="52" spans="1:6" x14ac:dyDescent="0.15">
      <c r="A52" s="23">
        <v>8</v>
      </c>
      <c r="B52" s="17">
        <f>A52+1</f>
        <v>9</v>
      </c>
      <c r="C52" s="23">
        <f>B52+1</f>
        <v>10</v>
      </c>
      <c r="D52" s="23">
        <f>C52+1</f>
        <v>11</v>
      </c>
      <c r="E52" s="23">
        <v>247.17</v>
      </c>
      <c r="F52" s="23">
        <v>0.04</v>
      </c>
    </row>
    <row r="53" spans="1:6" x14ac:dyDescent="0.15">
      <c r="A53" s="23">
        <v>8</v>
      </c>
      <c r="B53" s="17">
        <f t="shared" ref="B53:B58" si="17">B52+1</f>
        <v>10</v>
      </c>
      <c r="C53" s="23">
        <f t="shared" ref="C53:C58" si="18">C52+2</f>
        <v>12</v>
      </c>
      <c r="D53" s="23">
        <f>D52+3</f>
        <v>14</v>
      </c>
      <c r="E53" s="23">
        <v>115.22</v>
      </c>
      <c r="F53" s="23">
        <v>0.03</v>
      </c>
    </row>
    <row r="54" spans="1:6" x14ac:dyDescent="0.15">
      <c r="A54" s="23">
        <v>8</v>
      </c>
      <c r="B54" s="17">
        <f t="shared" si="17"/>
        <v>11</v>
      </c>
      <c r="C54" s="23">
        <f t="shared" si="18"/>
        <v>14</v>
      </c>
      <c r="D54" s="23">
        <f>D53+3</f>
        <v>17</v>
      </c>
      <c r="E54" s="23">
        <v>87.29</v>
      </c>
      <c r="F54" s="23">
        <v>0.03</v>
      </c>
    </row>
    <row r="55" spans="1:6" x14ac:dyDescent="0.15">
      <c r="A55" s="23">
        <v>8</v>
      </c>
      <c r="B55" s="17">
        <f t="shared" si="17"/>
        <v>12</v>
      </c>
      <c r="C55" s="23">
        <f t="shared" si="18"/>
        <v>16</v>
      </c>
      <c r="D55" s="23">
        <f>D54+3</f>
        <v>20</v>
      </c>
      <c r="E55" s="23">
        <v>41.6</v>
      </c>
      <c r="F55" s="23">
        <v>0.03</v>
      </c>
    </row>
    <row r="56" spans="1:6" x14ac:dyDescent="0.15">
      <c r="A56" s="23">
        <v>8</v>
      </c>
      <c r="B56" s="17">
        <f t="shared" si="17"/>
        <v>13</v>
      </c>
      <c r="C56" s="23">
        <f t="shared" si="18"/>
        <v>18</v>
      </c>
      <c r="D56" s="23">
        <f>D55+3</f>
        <v>23</v>
      </c>
      <c r="E56" s="23">
        <v>37.97</v>
      </c>
      <c r="F56" s="23">
        <v>0.04</v>
      </c>
    </row>
    <row r="57" spans="1:6" x14ac:dyDescent="0.15">
      <c r="A57" s="23">
        <v>8</v>
      </c>
      <c r="B57" s="17">
        <f t="shared" si="17"/>
        <v>14</v>
      </c>
      <c r="C57" s="23">
        <f t="shared" si="18"/>
        <v>20</v>
      </c>
      <c r="D57" s="23">
        <v>2</v>
      </c>
      <c r="E57" s="23">
        <v>18.239999999999998</v>
      </c>
      <c r="F57" s="23">
        <v>0.03</v>
      </c>
    </row>
    <row r="58" spans="1:6" x14ac:dyDescent="0.15">
      <c r="A58" s="23">
        <v>8</v>
      </c>
      <c r="B58" s="17">
        <f t="shared" si="17"/>
        <v>15</v>
      </c>
      <c r="C58" s="23">
        <f t="shared" si="18"/>
        <v>22</v>
      </c>
      <c r="D58" s="23">
        <f>D57+3</f>
        <v>5</v>
      </c>
      <c r="E58" s="23">
        <v>18.86</v>
      </c>
      <c r="F58" s="23">
        <v>0.04</v>
      </c>
    </row>
    <row r="59" spans="1:6" x14ac:dyDescent="0.15">
      <c r="A59" s="23">
        <v>9</v>
      </c>
      <c r="B59" s="17">
        <f>A59+1</f>
        <v>10</v>
      </c>
      <c r="C59" s="23">
        <f>B59+1</f>
        <v>11</v>
      </c>
      <c r="D59" s="23">
        <f>C59+1</f>
        <v>12</v>
      </c>
      <c r="E59" s="23">
        <v>266.77999999999997</v>
      </c>
      <c r="F59" s="23">
        <v>0.03</v>
      </c>
    </row>
    <row r="60" spans="1:6" x14ac:dyDescent="0.15">
      <c r="A60" s="23">
        <v>9</v>
      </c>
      <c r="B60" s="17">
        <f t="shared" ref="B60:B65" si="19">B59+1</f>
        <v>11</v>
      </c>
      <c r="C60" s="23">
        <f t="shared" ref="C60:C65" si="20">C59+2</f>
        <v>13</v>
      </c>
      <c r="D60" s="23">
        <f>D59+3</f>
        <v>15</v>
      </c>
      <c r="E60" s="23">
        <v>203.16</v>
      </c>
      <c r="F60" s="23">
        <v>0.03</v>
      </c>
    </row>
    <row r="61" spans="1:6" x14ac:dyDescent="0.15">
      <c r="A61" s="23">
        <v>9</v>
      </c>
      <c r="B61" s="17">
        <f t="shared" si="19"/>
        <v>12</v>
      </c>
      <c r="C61" s="23">
        <f t="shared" si="20"/>
        <v>15</v>
      </c>
      <c r="D61" s="23">
        <f>D60+3</f>
        <v>18</v>
      </c>
      <c r="E61" s="23">
        <v>82.76</v>
      </c>
      <c r="F61" s="23">
        <v>0.04</v>
      </c>
    </row>
    <row r="62" spans="1:6" x14ac:dyDescent="0.15">
      <c r="A62" s="23">
        <v>9</v>
      </c>
      <c r="B62" s="17">
        <f t="shared" si="19"/>
        <v>13</v>
      </c>
      <c r="C62" s="23">
        <f t="shared" si="20"/>
        <v>17</v>
      </c>
      <c r="D62" s="23">
        <f>D61+3</f>
        <v>21</v>
      </c>
      <c r="E62" s="23">
        <v>76.87</v>
      </c>
      <c r="F62" s="23">
        <v>0.04</v>
      </c>
    </row>
    <row r="63" spans="1:6" x14ac:dyDescent="0.15">
      <c r="A63" s="23">
        <v>9</v>
      </c>
      <c r="B63" s="17">
        <f t="shared" si="19"/>
        <v>14</v>
      </c>
      <c r="C63" s="23">
        <f t="shared" si="20"/>
        <v>19</v>
      </c>
      <c r="D63" s="23">
        <f>D62+3</f>
        <v>24</v>
      </c>
      <c r="E63" s="23">
        <v>17.690000000000001</v>
      </c>
      <c r="F63" s="23">
        <v>0.04</v>
      </c>
    </row>
    <row r="64" spans="1:6" x14ac:dyDescent="0.15">
      <c r="A64" s="23">
        <v>9</v>
      </c>
      <c r="B64" s="17">
        <f t="shared" si="19"/>
        <v>15</v>
      </c>
      <c r="C64" s="23">
        <f t="shared" si="20"/>
        <v>21</v>
      </c>
      <c r="D64" s="23">
        <v>3</v>
      </c>
      <c r="E64" s="23">
        <v>32.36</v>
      </c>
      <c r="F64" s="23">
        <v>0.04</v>
      </c>
    </row>
    <row r="65" spans="1:6" x14ac:dyDescent="0.15">
      <c r="A65" s="23">
        <v>9</v>
      </c>
      <c r="B65" s="17">
        <f t="shared" si="19"/>
        <v>16</v>
      </c>
      <c r="C65" s="23">
        <f t="shared" si="20"/>
        <v>23</v>
      </c>
      <c r="D65" s="23">
        <f>D64+3</f>
        <v>6</v>
      </c>
      <c r="E65" s="23">
        <v>14.65</v>
      </c>
      <c r="F65" s="23">
        <v>0.03</v>
      </c>
    </row>
    <row r="66" spans="1:6" x14ac:dyDescent="0.15">
      <c r="A66" s="23">
        <v>10</v>
      </c>
      <c r="B66" s="17">
        <f>A66+1</f>
        <v>11</v>
      </c>
      <c r="C66" s="23">
        <f>B66+1</f>
        <v>12</v>
      </c>
      <c r="D66" s="23">
        <f>C66+1</f>
        <v>13</v>
      </c>
      <c r="E66" s="23">
        <v>205.98</v>
      </c>
      <c r="F66" s="23">
        <v>0.03</v>
      </c>
    </row>
    <row r="67" spans="1:6" x14ac:dyDescent="0.15">
      <c r="A67" s="23">
        <v>10</v>
      </c>
      <c r="B67" s="17">
        <f t="shared" ref="B67:B72" si="21">B66+1</f>
        <v>12</v>
      </c>
      <c r="C67" s="23">
        <f t="shared" ref="C67:C72" si="22">C66+2</f>
        <v>14</v>
      </c>
      <c r="D67" s="23">
        <f>D66+3</f>
        <v>16</v>
      </c>
      <c r="E67" s="23">
        <v>161.84</v>
      </c>
      <c r="F67" s="23">
        <v>0.04</v>
      </c>
    </row>
    <row r="68" spans="1:6" x14ac:dyDescent="0.15">
      <c r="A68" s="23">
        <v>10</v>
      </c>
      <c r="B68" s="17">
        <f t="shared" si="21"/>
        <v>13</v>
      </c>
      <c r="C68" s="23">
        <f t="shared" si="22"/>
        <v>16</v>
      </c>
      <c r="D68" s="23">
        <f>D67+3</f>
        <v>19</v>
      </c>
      <c r="E68" s="23">
        <v>82.6</v>
      </c>
      <c r="F68" s="23">
        <v>0.03</v>
      </c>
    </row>
    <row r="69" spans="1:6" x14ac:dyDescent="0.15">
      <c r="A69" s="23">
        <v>10</v>
      </c>
      <c r="B69" s="17">
        <f t="shared" si="21"/>
        <v>14</v>
      </c>
      <c r="C69" s="23">
        <f t="shared" si="22"/>
        <v>18</v>
      </c>
      <c r="D69" s="23">
        <f>D68+3</f>
        <v>22</v>
      </c>
      <c r="E69" s="23">
        <v>39.950000000000003</v>
      </c>
      <c r="F69" s="23">
        <v>0.03</v>
      </c>
    </row>
    <row r="70" spans="1:6" x14ac:dyDescent="0.15">
      <c r="A70" s="23">
        <v>10</v>
      </c>
      <c r="B70" s="17">
        <f t="shared" si="21"/>
        <v>15</v>
      </c>
      <c r="C70" s="23">
        <f t="shared" si="22"/>
        <v>20</v>
      </c>
      <c r="D70" s="23">
        <v>1</v>
      </c>
      <c r="E70" s="23">
        <v>32.58</v>
      </c>
      <c r="F70" s="23">
        <v>0.03</v>
      </c>
    </row>
    <row r="71" spans="1:6" x14ac:dyDescent="0.15">
      <c r="A71" s="23">
        <v>10</v>
      </c>
      <c r="B71" s="17">
        <f t="shared" si="21"/>
        <v>16</v>
      </c>
      <c r="C71" s="23">
        <f t="shared" si="22"/>
        <v>22</v>
      </c>
      <c r="D71" s="23">
        <f>D70+3</f>
        <v>4</v>
      </c>
      <c r="E71" s="23">
        <v>33.96</v>
      </c>
      <c r="F71" s="23">
        <v>0.04</v>
      </c>
    </row>
    <row r="72" spans="1:6" x14ac:dyDescent="0.15">
      <c r="A72" s="23">
        <v>10</v>
      </c>
      <c r="B72" s="17">
        <f t="shared" si="21"/>
        <v>17</v>
      </c>
      <c r="C72" s="23">
        <f t="shared" si="22"/>
        <v>24</v>
      </c>
      <c r="D72" s="23">
        <f>D71+3</f>
        <v>7</v>
      </c>
      <c r="E72" s="23">
        <v>12.87</v>
      </c>
      <c r="F72" s="23">
        <v>0.04</v>
      </c>
    </row>
    <row r="73" spans="1:6" x14ac:dyDescent="0.15">
      <c r="A73" s="23">
        <v>11</v>
      </c>
      <c r="B73" s="17">
        <f>A73+1</f>
        <v>12</v>
      </c>
      <c r="C73" s="23">
        <f>B73+1</f>
        <v>13</v>
      </c>
      <c r="D73" s="23">
        <f>C73+1</f>
        <v>14</v>
      </c>
      <c r="E73" s="23">
        <v>251.64</v>
      </c>
      <c r="F73" s="23">
        <v>0.03</v>
      </c>
    </row>
    <row r="74" spans="1:6" x14ac:dyDescent="0.15">
      <c r="A74" s="23">
        <v>11</v>
      </c>
      <c r="B74" s="17">
        <f t="shared" ref="B74:B79" si="23">B73+1</f>
        <v>13</v>
      </c>
      <c r="C74" s="23">
        <f>C73+2</f>
        <v>15</v>
      </c>
      <c r="D74" s="23">
        <f>D73+3</f>
        <v>17</v>
      </c>
      <c r="E74" s="23">
        <v>148.96</v>
      </c>
      <c r="F74" s="23">
        <v>0.03</v>
      </c>
    </row>
    <row r="75" spans="1:6" x14ac:dyDescent="0.15">
      <c r="A75" s="23">
        <v>11</v>
      </c>
      <c r="B75" s="17">
        <f t="shared" si="23"/>
        <v>14</v>
      </c>
      <c r="C75" s="23">
        <f>C74+2</f>
        <v>17</v>
      </c>
      <c r="D75" s="23">
        <f>D74+3</f>
        <v>20</v>
      </c>
      <c r="E75" s="23">
        <v>54.6</v>
      </c>
      <c r="F75" s="23">
        <v>0.03</v>
      </c>
    </row>
    <row r="76" spans="1:6" x14ac:dyDescent="0.15">
      <c r="A76" s="23">
        <v>11</v>
      </c>
      <c r="B76" s="17">
        <f t="shared" si="23"/>
        <v>15</v>
      </c>
      <c r="C76" s="23">
        <f>C75+2</f>
        <v>19</v>
      </c>
      <c r="D76" s="23">
        <f>D75+3</f>
        <v>23</v>
      </c>
      <c r="E76" s="23">
        <v>47.39</v>
      </c>
      <c r="F76" s="23">
        <v>0.04</v>
      </c>
    </row>
    <row r="77" spans="1:6" x14ac:dyDescent="0.15">
      <c r="A77" s="23">
        <v>11</v>
      </c>
      <c r="B77" s="17">
        <f t="shared" si="23"/>
        <v>16</v>
      </c>
      <c r="C77" s="23">
        <f>C76+2</f>
        <v>21</v>
      </c>
      <c r="D77" s="23">
        <v>2</v>
      </c>
      <c r="E77" s="23">
        <v>33.409999999999997</v>
      </c>
      <c r="F77" s="23">
        <v>0.04</v>
      </c>
    </row>
    <row r="78" spans="1:6" x14ac:dyDescent="0.15">
      <c r="A78" s="23">
        <v>11</v>
      </c>
      <c r="B78" s="17">
        <f t="shared" si="23"/>
        <v>17</v>
      </c>
      <c r="C78" s="23">
        <f>C77+2</f>
        <v>23</v>
      </c>
      <c r="D78" s="23">
        <f>D77+3</f>
        <v>5</v>
      </c>
      <c r="E78" s="23">
        <v>29.96</v>
      </c>
      <c r="F78" s="23">
        <v>0.04</v>
      </c>
    </row>
    <row r="79" spans="1:6" x14ac:dyDescent="0.15">
      <c r="A79" s="23">
        <v>11</v>
      </c>
      <c r="B79" s="17">
        <f t="shared" si="23"/>
        <v>18</v>
      </c>
      <c r="C79" s="23">
        <v>1</v>
      </c>
      <c r="D79" s="23">
        <f>D78+3</f>
        <v>8</v>
      </c>
      <c r="E79" s="23">
        <v>14.3</v>
      </c>
      <c r="F79" s="23">
        <v>0.04</v>
      </c>
    </row>
    <row r="80" spans="1:6" x14ac:dyDescent="0.15">
      <c r="A80" s="23">
        <v>12</v>
      </c>
      <c r="B80" s="17">
        <f>A80+1</f>
        <v>13</v>
      </c>
      <c r="C80" s="23">
        <f>B80+1</f>
        <v>14</v>
      </c>
      <c r="D80" s="23">
        <f>C80+1</f>
        <v>15</v>
      </c>
      <c r="E80" s="23">
        <v>210.44</v>
      </c>
      <c r="F80" s="23">
        <v>0.03</v>
      </c>
    </row>
    <row r="81" spans="1:6" x14ac:dyDescent="0.15">
      <c r="A81" s="23">
        <v>12</v>
      </c>
      <c r="B81" s="17">
        <f t="shared" ref="B81:B86" si="24">B80+1</f>
        <v>14</v>
      </c>
      <c r="C81" s="23">
        <f>C80+2</f>
        <v>16</v>
      </c>
      <c r="D81" s="23">
        <f>D80+3</f>
        <v>18</v>
      </c>
      <c r="E81" s="23">
        <v>51.54</v>
      </c>
      <c r="F81" s="23">
        <v>0.03</v>
      </c>
    </row>
    <row r="82" spans="1:6" x14ac:dyDescent="0.15">
      <c r="A82" s="23">
        <v>12</v>
      </c>
      <c r="B82" s="17">
        <f t="shared" si="24"/>
        <v>15</v>
      </c>
      <c r="C82" s="23">
        <f>C81+2</f>
        <v>18</v>
      </c>
      <c r="D82" s="23">
        <f>D81+3</f>
        <v>21</v>
      </c>
      <c r="E82" s="23">
        <v>53.17</v>
      </c>
      <c r="F82" s="23">
        <v>0.03</v>
      </c>
    </row>
    <row r="83" spans="1:6" x14ac:dyDescent="0.15">
      <c r="A83" s="23">
        <v>12</v>
      </c>
      <c r="B83" s="17">
        <f t="shared" si="24"/>
        <v>16</v>
      </c>
      <c r="C83" s="23">
        <f>C82+2</f>
        <v>20</v>
      </c>
      <c r="D83" s="23">
        <f>D82+3</f>
        <v>24</v>
      </c>
      <c r="E83" s="23">
        <v>21.42</v>
      </c>
      <c r="F83" s="23">
        <v>0.03</v>
      </c>
    </row>
    <row r="84" spans="1:6" x14ac:dyDescent="0.15">
      <c r="A84" s="23">
        <v>12</v>
      </c>
      <c r="B84" s="17">
        <f t="shared" si="24"/>
        <v>17</v>
      </c>
      <c r="C84" s="23">
        <f>C83+2</f>
        <v>22</v>
      </c>
      <c r="D84" s="23">
        <v>3</v>
      </c>
      <c r="E84" s="23">
        <v>22.67</v>
      </c>
      <c r="F84" s="23">
        <v>0.03</v>
      </c>
    </row>
    <row r="85" spans="1:6" x14ac:dyDescent="0.15">
      <c r="A85" s="23">
        <v>12</v>
      </c>
      <c r="B85" s="17">
        <f t="shared" si="24"/>
        <v>18</v>
      </c>
      <c r="C85" s="23">
        <f>C84+2</f>
        <v>24</v>
      </c>
      <c r="D85" s="23">
        <f>D84+3</f>
        <v>6</v>
      </c>
      <c r="E85" s="23">
        <v>14.71</v>
      </c>
      <c r="F85" s="23">
        <v>0.03</v>
      </c>
    </row>
    <row r="86" spans="1:6" x14ac:dyDescent="0.15">
      <c r="A86" s="23">
        <v>12</v>
      </c>
      <c r="B86" s="17">
        <f t="shared" si="24"/>
        <v>19</v>
      </c>
      <c r="C86" s="23">
        <v>2</v>
      </c>
      <c r="D86" s="23">
        <f>D85+3</f>
        <v>9</v>
      </c>
      <c r="E86" s="23">
        <v>7.56</v>
      </c>
      <c r="F86" s="23">
        <v>0.03</v>
      </c>
    </row>
    <row r="87" spans="1:6" x14ac:dyDescent="0.15">
      <c r="A87" s="23">
        <v>13</v>
      </c>
      <c r="B87" s="17">
        <f>A87+1</f>
        <v>14</v>
      </c>
      <c r="C87" s="23">
        <f>B87+1</f>
        <v>15</v>
      </c>
      <c r="D87" s="23">
        <f>C87+1</f>
        <v>16</v>
      </c>
      <c r="E87" s="23">
        <v>170.4</v>
      </c>
      <c r="F87" s="23">
        <v>0.03</v>
      </c>
    </row>
    <row r="88" spans="1:6" x14ac:dyDescent="0.15">
      <c r="A88" s="23">
        <v>13</v>
      </c>
      <c r="B88" s="17">
        <f t="shared" ref="B88:B93" si="25">B87+1</f>
        <v>15</v>
      </c>
      <c r="C88" s="23">
        <f>C87+2</f>
        <v>17</v>
      </c>
      <c r="D88" s="23">
        <f>D87+3</f>
        <v>19</v>
      </c>
      <c r="E88" s="23">
        <v>50.03</v>
      </c>
      <c r="F88" s="23">
        <v>0.03</v>
      </c>
    </row>
    <row r="89" spans="1:6" x14ac:dyDescent="0.15">
      <c r="A89" s="23">
        <v>13</v>
      </c>
      <c r="B89" s="17">
        <f t="shared" si="25"/>
        <v>16</v>
      </c>
      <c r="C89" s="23">
        <f>C88+2</f>
        <v>19</v>
      </c>
      <c r="D89" s="23">
        <f>D88+3</f>
        <v>22</v>
      </c>
      <c r="E89" s="23">
        <v>45.83</v>
      </c>
      <c r="F89" s="23">
        <v>0.04</v>
      </c>
    </row>
    <row r="90" spans="1:6" x14ac:dyDescent="0.15">
      <c r="A90" s="23">
        <v>13</v>
      </c>
      <c r="B90" s="17">
        <f t="shared" si="25"/>
        <v>17</v>
      </c>
      <c r="C90" s="23">
        <f>C89+2</f>
        <v>21</v>
      </c>
      <c r="D90" s="23">
        <v>1</v>
      </c>
      <c r="E90" s="23">
        <v>32.08</v>
      </c>
      <c r="F90" s="23">
        <v>0.03</v>
      </c>
    </row>
    <row r="91" spans="1:6" x14ac:dyDescent="0.15">
      <c r="A91" s="23">
        <v>13</v>
      </c>
      <c r="B91" s="17">
        <f t="shared" si="25"/>
        <v>18</v>
      </c>
      <c r="C91" s="23">
        <f>C90+2</f>
        <v>23</v>
      </c>
      <c r="D91" s="23">
        <f>D90+3</f>
        <v>4</v>
      </c>
      <c r="E91" s="23">
        <v>26.39</v>
      </c>
      <c r="F91" s="23">
        <v>0.03</v>
      </c>
    </row>
    <row r="92" spans="1:6" x14ac:dyDescent="0.15">
      <c r="A92" s="23">
        <v>13</v>
      </c>
      <c r="B92" s="17">
        <f t="shared" si="25"/>
        <v>19</v>
      </c>
      <c r="C92" s="23">
        <v>1</v>
      </c>
      <c r="D92" s="23">
        <f>D91+3</f>
        <v>7</v>
      </c>
      <c r="E92" s="23">
        <v>19.73</v>
      </c>
      <c r="F92" s="23">
        <v>0.03</v>
      </c>
    </row>
    <row r="93" spans="1:6" x14ac:dyDescent="0.15">
      <c r="A93" s="23">
        <v>13</v>
      </c>
      <c r="B93" s="17">
        <f t="shared" si="25"/>
        <v>20</v>
      </c>
      <c r="C93" s="23">
        <f>C92+2</f>
        <v>3</v>
      </c>
      <c r="D93" s="23">
        <f>D92+3</f>
        <v>10</v>
      </c>
      <c r="E93" s="23">
        <v>6.28</v>
      </c>
      <c r="F93" s="23">
        <v>0.03</v>
      </c>
    </row>
    <row r="94" spans="1:6" x14ac:dyDescent="0.15">
      <c r="A94" s="23">
        <v>14</v>
      </c>
      <c r="B94" s="17">
        <f>A94+1</f>
        <v>15</v>
      </c>
      <c r="C94" s="23">
        <f>B94+1</f>
        <v>16</v>
      </c>
      <c r="D94" s="23">
        <f>C94+1</f>
        <v>17</v>
      </c>
      <c r="E94" s="23">
        <v>253.08</v>
      </c>
      <c r="F94" s="23">
        <v>0.03</v>
      </c>
    </row>
    <row r="95" spans="1:6" x14ac:dyDescent="0.15">
      <c r="A95" s="23">
        <v>14</v>
      </c>
      <c r="B95" s="17">
        <f t="shared" ref="B95:B100" si="26">B94+1</f>
        <v>16</v>
      </c>
      <c r="C95" s="23">
        <f>C94+2</f>
        <v>18</v>
      </c>
      <c r="D95" s="23">
        <f>D94+3</f>
        <v>20</v>
      </c>
      <c r="E95" s="23">
        <v>93.66</v>
      </c>
      <c r="F95" s="23">
        <v>0.03</v>
      </c>
    </row>
    <row r="96" spans="1:6" x14ac:dyDescent="0.15">
      <c r="A96" s="23">
        <v>14</v>
      </c>
      <c r="B96" s="17">
        <f t="shared" si="26"/>
        <v>17</v>
      </c>
      <c r="C96" s="23">
        <f>C95+2</f>
        <v>20</v>
      </c>
      <c r="D96" s="23">
        <f>D95+3</f>
        <v>23</v>
      </c>
      <c r="E96" s="23">
        <v>61.24</v>
      </c>
      <c r="F96" s="23">
        <v>0.03</v>
      </c>
    </row>
    <row r="97" spans="1:6" x14ac:dyDescent="0.15">
      <c r="A97" s="23">
        <v>14</v>
      </c>
      <c r="B97" s="17">
        <f t="shared" si="26"/>
        <v>18</v>
      </c>
      <c r="C97" s="23">
        <f>C96+2</f>
        <v>22</v>
      </c>
      <c r="D97" s="23">
        <v>2</v>
      </c>
      <c r="E97" s="23">
        <v>48.18</v>
      </c>
      <c r="F97" s="23">
        <v>0.03</v>
      </c>
    </row>
    <row r="98" spans="1:6" x14ac:dyDescent="0.15">
      <c r="A98" s="23">
        <v>14</v>
      </c>
      <c r="B98" s="17">
        <f t="shared" si="26"/>
        <v>19</v>
      </c>
      <c r="C98" s="23">
        <f>C97+2</f>
        <v>24</v>
      </c>
      <c r="D98" s="23">
        <f>D97+3</f>
        <v>5</v>
      </c>
      <c r="E98" s="23">
        <v>22.98</v>
      </c>
      <c r="F98" s="23">
        <v>0.03</v>
      </c>
    </row>
    <row r="99" spans="1:6" x14ac:dyDescent="0.15">
      <c r="A99" s="23">
        <v>14</v>
      </c>
      <c r="B99" s="17">
        <f t="shared" si="26"/>
        <v>20</v>
      </c>
      <c r="C99" s="23">
        <v>2</v>
      </c>
      <c r="D99" s="23">
        <f>D98+3</f>
        <v>8</v>
      </c>
      <c r="E99" s="23">
        <v>25.24</v>
      </c>
      <c r="F99" s="23">
        <v>0.03</v>
      </c>
    </row>
    <row r="100" spans="1:6" x14ac:dyDescent="0.15">
      <c r="A100" s="23">
        <v>14</v>
      </c>
      <c r="B100" s="17">
        <f t="shared" si="26"/>
        <v>21</v>
      </c>
      <c r="C100" s="23">
        <f>C99+2</f>
        <v>4</v>
      </c>
      <c r="D100" s="23">
        <f>D99+3</f>
        <v>11</v>
      </c>
      <c r="E100" s="23">
        <v>9.26</v>
      </c>
      <c r="F100" s="23">
        <v>0.03</v>
      </c>
    </row>
    <row r="101" spans="1:6" x14ac:dyDescent="0.15">
      <c r="A101" s="23">
        <v>15</v>
      </c>
      <c r="B101" s="17">
        <f>A101+1</f>
        <v>16</v>
      </c>
      <c r="C101" s="23">
        <f>B101+1</f>
        <v>17</v>
      </c>
      <c r="D101" s="23">
        <f>C101+1</f>
        <v>18</v>
      </c>
      <c r="E101" s="23">
        <v>122.83</v>
      </c>
      <c r="F101" s="23">
        <v>0.03</v>
      </c>
    </row>
    <row r="102" spans="1:6" x14ac:dyDescent="0.15">
      <c r="A102" s="23">
        <v>15</v>
      </c>
      <c r="B102" s="17">
        <f t="shared" ref="B102:B107" si="27">B101+1</f>
        <v>17</v>
      </c>
      <c r="C102" s="23">
        <f>C101+2</f>
        <v>19</v>
      </c>
      <c r="D102" s="23">
        <f>D101+3</f>
        <v>21</v>
      </c>
      <c r="E102" s="23">
        <v>101.9</v>
      </c>
      <c r="F102" s="23">
        <v>0.03</v>
      </c>
    </row>
    <row r="103" spans="1:6" x14ac:dyDescent="0.15">
      <c r="A103" s="23">
        <v>15</v>
      </c>
      <c r="B103" s="17">
        <f t="shared" si="27"/>
        <v>18</v>
      </c>
      <c r="C103" s="23">
        <f>C102+2</f>
        <v>21</v>
      </c>
      <c r="D103" s="23">
        <f>D102+3</f>
        <v>24</v>
      </c>
      <c r="E103" s="23">
        <v>42.59</v>
      </c>
      <c r="F103" s="23">
        <v>0.03</v>
      </c>
    </row>
    <row r="104" spans="1:6" x14ac:dyDescent="0.15">
      <c r="A104" s="23">
        <v>15</v>
      </c>
      <c r="B104" s="17">
        <f t="shared" si="27"/>
        <v>19</v>
      </c>
      <c r="C104" s="23">
        <f>C103+2</f>
        <v>23</v>
      </c>
      <c r="D104" s="23">
        <v>3</v>
      </c>
      <c r="E104" s="23">
        <v>32.57</v>
      </c>
      <c r="F104" s="23">
        <v>0.03</v>
      </c>
    </row>
    <row r="105" spans="1:6" x14ac:dyDescent="0.15">
      <c r="A105" s="23">
        <v>15</v>
      </c>
      <c r="B105" s="17">
        <f t="shared" si="27"/>
        <v>20</v>
      </c>
      <c r="C105" s="23">
        <v>1</v>
      </c>
      <c r="D105" s="23">
        <f>D104+3</f>
        <v>6</v>
      </c>
      <c r="E105" s="23">
        <v>25.67</v>
      </c>
      <c r="F105" s="23">
        <v>0.04</v>
      </c>
    </row>
    <row r="106" spans="1:6" x14ac:dyDescent="0.15">
      <c r="A106" s="23">
        <v>15</v>
      </c>
      <c r="B106" s="17">
        <f t="shared" si="27"/>
        <v>21</v>
      </c>
      <c r="C106" s="23">
        <f>C105+2</f>
        <v>3</v>
      </c>
      <c r="D106" s="23">
        <f>D105+3</f>
        <v>9</v>
      </c>
      <c r="E106" s="23">
        <v>20</v>
      </c>
      <c r="F106" s="23">
        <v>0.03</v>
      </c>
    </row>
    <row r="107" spans="1:6" x14ac:dyDescent="0.15">
      <c r="A107" s="23">
        <v>15</v>
      </c>
      <c r="B107" s="17">
        <f t="shared" si="27"/>
        <v>22</v>
      </c>
      <c r="C107" s="23">
        <f>C106+2</f>
        <v>5</v>
      </c>
      <c r="D107" s="23">
        <f>D106+3</f>
        <v>12</v>
      </c>
      <c r="E107" s="23">
        <v>16.39</v>
      </c>
      <c r="F107" s="23">
        <v>0.03</v>
      </c>
    </row>
    <row r="108" spans="1:6" x14ac:dyDescent="0.15">
      <c r="A108" s="23">
        <v>16</v>
      </c>
      <c r="B108" s="17">
        <f>A108+1</f>
        <v>17</v>
      </c>
      <c r="C108" s="23">
        <f>B108+1</f>
        <v>18</v>
      </c>
      <c r="D108" s="23">
        <f>C108+1</f>
        <v>19</v>
      </c>
      <c r="E108" s="23">
        <v>95.93</v>
      </c>
      <c r="F108" s="23">
        <v>0.03</v>
      </c>
    </row>
    <row r="109" spans="1:6" x14ac:dyDescent="0.15">
      <c r="A109" s="23">
        <v>16</v>
      </c>
      <c r="B109" s="17">
        <f t="shared" ref="B109:B114" si="28">B108+1</f>
        <v>18</v>
      </c>
      <c r="C109" s="23">
        <f>C108+2</f>
        <v>20</v>
      </c>
      <c r="D109" s="23">
        <f>D108+3</f>
        <v>22</v>
      </c>
      <c r="E109" s="23">
        <v>66.510000000000005</v>
      </c>
      <c r="F109" s="23">
        <v>0.03</v>
      </c>
    </row>
    <row r="110" spans="1:6" x14ac:dyDescent="0.15">
      <c r="A110" s="23">
        <v>16</v>
      </c>
      <c r="B110" s="17">
        <f t="shared" si="28"/>
        <v>19</v>
      </c>
      <c r="C110" s="23">
        <f>C109+2</f>
        <v>22</v>
      </c>
      <c r="D110" s="23">
        <v>1</v>
      </c>
      <c r="E110" s="23">
        <v>60.49</v>
      </c>
      <c r="F110" s="23">
        <v>0.03</v>
      </c>
    </row>
    <row r="111" spans="1:6" x14ac:dyDescent="0.15">
      <c r="A111" s="23">
        <v>16</v>
      </c>
      <c r="B111" s="17">
        <f t="shared" si="28"/>
        <v>20</v>
      </c>
      <c r="C111" s="23">
        <f>C110+2</f>
        <v>24</v>
      </c>
      <c r="D111" s="23">
        <v>4</v>
      </c>
      <c r="E111" s="23">
        <v>37.200000000000003</v>
      </c>
      <c r="F111" s="23">
        <v>0.04</v>
      </c>
    </row>
    <row r="112" spans="1:6" x14ac:dyDescent="0.15">
      <c r="A112" s="23">
        <v>16</v>
      </c>
      <c r="B112" s="17">
        <f t="shared" si="28"/>
        <v>21</v>
      </c>
      <c r="C112" s="23">
        <v>2</v>
      </c>
      <c r="D112" s="23">
        <f>D111+3</f>
        <v>7</v>
      </c>
      <c r="E112" s="23">
        <v>36.130000000000003</v>
      </c>
      <c r="F112" s="23">
        <v>0.04</v>
      </c>
    </row>
    <row r="113" spans="1:6" x14ac:dyDescent="0.15">
      <c r="A113" s="23">
        <v>16</v>
      </c>
      <c r="B113" s="17">
        <f t="shared" si="28"/>
        <v>22</v>
      </c>
      <c r="C113" s="23">
        <f>C112+2</f>
        <v>4</v>
      </c>
      <c r="D113" s="23">
        <f>D112+3</f>
        <v>10</v>
      </c>
      <c r="E113" s="23">
        <v>31.06</v>
      </c>
      <c r="F113" s="23">
        <v>0.04</v>
      </c>
    </row>
    <row r="114" spans="1:6" x14ac:dyDescent="0.15">
      <c r="A114" s="23">
        <v>16</v>
      </c>
      <c r="B114" s="17">
        <f t="shared" si="28"/>
        <v>23</v>
      </c>
      <c r="C114" s="23">
        <f>C113+2</f>
        <v>6</v>
      </c>
      <c r="D114" s="23">
        <f>D113+3</f>
        <v>13</v>
      </c>
      <c r="E114" s="23">
        <v>17.690000000000001</v>
      </c>
      <c r="F114" s="23">
        <v>0.03</v>
      </c>
    </row>
    <row r="115" spans="1:6" x14ac:dyDescent="0.15">
      <c r="A115" s="23">
        <v>17</v>
      </c>
      <c r="B115" s="17">
        <f>A115+1</f>
        <v>18</v>
      </c>
      <c r="C115" s="23">
        <f>B115+1</f>
        <v>19</v>
      </c>
      <c r="D115" s="23">
        <f>C115+1</f>
        <v>20</v>
      </c>
      <c r="E115" s="23">
        <v>115.28</v>
      </c>
      <c r="F115" s="23">
        <v>0.03</v>
      </c>
    </row>
    <row r="116" spans="1:6" x14ac:dyDescent="0.15">
      <c r="A116" s="23">
        <v>17</v>
      </c>
      <c r="B116" s="17">
        <f t="shared" ref="B116:B121" si="29">B115+1</f>
        <v>19</v>
      </c>
      <c r="C116" s="23">
        <f>C115+2</f>
        <v>21</v>
      </c>
      <c r="D116" s="23">
        <f>D115+3</f>
        <v>23</v>
      </c>
      <c r="E116" s="23">
        <v>58.06</v>
      </c>
      <c r="F116" s="23">
        <v>0.03</v>
      </c>
    </row>
    <row r="117" spans="1:6" x14ac:dyDescent="0.15">
      <c r="A117" s="23">
        <v>17</v>
      </c>
      <c r="B117" s="17">
        <f t="shared" si="29"/>
        <v>20</v>
      </c>
      <c r="C117" s="23">
        <f>C116+2</f>
        <v>23</v>
      </c>
      <c r="D117" s="23">
        <v>2</v>
      </c>
      <c r="E117" s="23">
        <v>33.57</v>
      </c>
      <c r="F117" s="23">
        <v>0.03</v>
      </c>
    </row>
    <row r="118" spans="1:6" x14ac:dyDescent="0.15">
      <c r="A118" s="23">
        <v>17</v>
      </c>
      <c r="B118" s="17">
        <f t="shared" si="29"/>
        <v>21</v>
      </c>
      <c r="C118" s="23">
        <v>1</v>
      </c>
      <c r="D118" s="23">
        <f>D117+3</f>
        <v>5</v>
      </c>
      <c r="E118" s="23">
        <v>39.81</v>
      </c>
      <c r="F118" s="23">
        <v>0.03</v>
      </c>
    </row>
    <row r="119" spans="1:6" x14ac:dyDescent="0.15">
      <c r="A119" s="23">
        <v>17</v>
      </c>
      <c r="B119" s="17">
        <f t="shared" si="29"/>
        <v>22</v>
      </c>
      <c r="C119" s="23">
        <f>C118+2</f>
        <v>3</v>
      </c>
      <c r="D119" s="23">
        <f>D118+3</f>
        <v>8</v>
      </c>
      <c r="E119" s="23">
        <v>30.52</v>
      </c>
      <c r="F119" s="23">
        <v>0.03</v>
      </c>
    </row>
    <row r="120" spans="1:6" x14ac:dyDescent="0.15">
      <c r="A120" s="23">
        <v>17</v>
      </c>
      <c r="B120" s="17">
        <f t="shared" si="29"/>
        <v>23</v>
      </c>
      <c r="C120" s="23">
        <f>C119+2</f>
        <v>5</v>
      </c>
      <c r="D120" s="23">
        <f>D119+3</f>
        <v>11</v>
      </c>
      <c r="E120" s="23">
        <v>20.63</v>
      </c>
      <c r="F120" s="23">
        <v>0.04</v>
      </c>
    </row>
    <row r="121" spans="1:6" x14ac:dyDescent="0.15">
      <c r="A121" s="23">
        <v>17</v>
      </c>
      <c r="B121" s="17">
        <f t="shared" si="29"/>
        <v>24</v>
      </c>
      <c r="C121" s="23">
        <f>C120+2</f>
        <v>7</v>
      </c>
      <c r="D121" s="23">
        <f>D120+3</f>
        <v>14</v>
      </c>
      <c r="E121" s="23">
        <v>7.36</v>
      </c>
      <c r="F121" s="23">
        <v>0.04</v>
      </c>
    </row>
    <row r="122" spans="1:6" x14ac:dyDescent="0.15">
      <c r="A122" s="23">
        <v>18</v>
      </c>
      <c r="B122" s="17">
        <f>A122+1</f>
        <v>19</v>
      </c>
      <c r="C122" s="23">
        <f>B122+1</f>
        <v>20</v>
      </c>
      <c r="D122" s="23">
        <f>C122+1</f>
        <v>21</v>
      </c>
      <c r="E122" s="23">
        <v>112.71</v>
      </c>
      <c r="F122" s="23">
        <v>0.03</v>
      </c>
    </row>
    <row r="123" spans="1:6" x14ac:dyDescent="0.15">
      <c r="A123" s="23">
        <v>18</v>
      </c>
      <c r="B123" s="17">
        <f>B122+1</f>
        <v>20</v>
      </c>
      <c r="C123" s="23">
        <f>C122+2</f>
        <v>22</v>
      </c>
      <c r="D123" s="23">
        <f>D122+3</f>
        <v>24</v>
      </c>
      <c r="E123" s="23">
        <v>44.88</v>
      </c>
      <c r="F123" s="23">
        <v>0.04</v>
      </c>
    </row>
    <row r="124" spans="1:6" x14ac:dyDescent="0.15">
      <c r="A124" s="23">
        <v>18</v>
      </c>
      <c r="B124" s="17">
        <f>B123+1</f>
        <v>21</v>
      </c>
      <c r="C124" s="23">
        <f>C123+2</f>
        <v>24</v>
      </c>
      <c r="D124" s="23">
        <v>3</v>
      </c>
      <c r="E124" s="23">
        <v>18.600000000000001</v>
      </c>
      <c r="F124" s="23">
        <v>0.03</v>
      </c>
    </row>
    <row r="125" spans="1:6" x14ac:dyDescent="0.15">
      <c r="A125" s="23">
        <v>18</v>
      </c>
      <c r="B125" s="17">
        <f>B124+1</f>
        <v>22</v>
      </c>
      <c r="C125" s="23">
        <v>2</v>
      </c>
      <c r="D125" s="23">
        <f>D124+3</f>
        <v>6</v>
      </c>
      <c r="E125" s="23">
        <v>27.92</v>
      </c>
      <c r="F125" s="23">
        <v>0.03</v>
      </c>
    </row>
    <row r="126" spans="1:6" x14ac:dyDescent="0.15">
      <c r="A126" s="23">
        <v>18</v>
      </c>
      <c r="B126" s="17">
        <f>B125+1</f>
        <v>23</v>
      </c>
      <c r="C126" s="23">
        <f>C125+2</f>
        <v>4</v>
      </c>
      <c r="D126" s="23">
        <f>D125+3</f>
        <v>9</v>
      </c>
      <c r="E126" s="23">
        <v>3.16</v>
      </c>
      <c r="F126" s="23">
        <v>0.04</v>
      </c>
    </row>
    <row r="127" spans="1:6" x14ac:dyDescent="0.15">
      <c r="A127" s="23">
        <v>18</v>
      </c>
      <c r="B127" s="17">
        <f>B126+1</f>
        <v>24</v>
      </c>
      <c r="C127" s="23">
        <f>C126+2</f>
        <v>6</v>
      </c>
      <c r="D127" s="23">
        <f>D126+3</f>
        <v>12</v>
      </c>
      <c r="E127" s="23">
        <v>6.64</v>
      </c>
      <c r="F127" s="23">
        <v>0.03</v>
      </c>
    </row>
    <row r="128" spans="1:6" x14ac:dyDescent="0.15">
      <c r="A128" s="23">
        <v>18</v>
      </c>
      <c r="B128" s="17">
        <v>1</v>
      </c>
      <c r="C128" s="23">
        <f>C127+2</f>
        <v>8</v>
      </c>
      <c r="D128" s="23">
        <f>D127+3</f>
        <v>15</v>
      </c>
      <c r="E128" s="23">
        <v>6.1</v>
      </c>
      <c r="F128" s="23">
        <v>0.03</v>
      </c>
    </row>
    <row r="129" spans="1:6" x14ac:dyDescent="0.15">
      <c r="A129" s="23">
        <v>19</v>
      </c>
      <c r="B129" s="17">
        <f>A129+1</f>
        <v>20</v>
      </c>
      <c r="C129" s="23">
        <f>B129+1</f>
        <v>21</v>
      </c>
      <c r="D129" s="23">
        <f>C129+1</f>
        <v>22</v>
      </c>
      <c r="E129" s="23">
        <v>59.65</v>
      </c>
      <c r="F129" s="23">
        <v>0.03</v>
      </c>
    </row>
    <row r="130" spans="1:6" x14ac:dyDescent="0.15">
      <c r="A130" s="23">
        <v>19</v>
      </c>
      <c r="B130" s="17">
        <f>B129+1</f>
        <v>21</v>
      </c>
      <c r="C130" s="23">
        <f>C129+2</f>
        <v>23</v>
      </c>
      <c r="D130" s="23">
        <v>1</v>
      </c>
      <c r="E130" s="23">
        <v>30.39</v>
      </c>
      <c r="F130" s="23">
        <v>0.03</v>
      </c>
    </row>
    <row r="131" spans="1:6" x14ac:dyDescent="0.15">
      <c r="A131" s="23">
        <v>19</v>
      </c>
      <c r="B131" s="17">
        <f>B130+1</f>
        <v>22</v>
      </c>
      <c r="C131" s="23">
        <v>1</v>
      </c>
      <c r="D131" s="23">
        <f>D130+3</f>
        <v>4</v>
      </c>
      <c r="E131" s="23">
        <v>39.76</v>
      </c>
      <c r="F131" s="23">
        <v>0.03</v>
      </c>
    </row>
    <row r="132" spans="1:6" x14ac:dyDescent="0.15">
      <c r="A132" s="23">
        <v>19</v>
      </c>
      <c r="B132" s="17">
        <f>B131+1</f>
        <v>23</v>
      </c>
      <c r="C132" s="23">
        <f>C131+2</f>
        <v>3</v>
      </c>
      <c r="D132" s="23">
        <f>D131+3</f>
        <v>7</v>
      </c>
      <c r="E132" s="23">
        <v>15.16</v>
      </c>
      <c r="F132" s="23">
        <v>0.03</v>
      </c>
    </row>
    <row r="133" spans="1:6" x14ac:dyDescent="0.15">
      <c r="A133" s="23">
        <v>19</v>
      </c>
      <c r="B133" s="17">
        <f>B132+1</f>
        <v>24</v>
      </c>
      <c r="C133" s="23">
        <f>C132+2</f>
        <v>5</v>
      </c>
      <c r="D133" s="23">
        <f>D132+3</f>
        <v>10</v>
      </c>
      <c r="E133" s="23">
        <v>7.91</v>
      </c>
      <c r="F133" s="23">
        <v>0.03</v>
      </c>
    </row>
    <row r="134" spans="1:6" x14ac:dyDescent="0.15">
      <c r="A134" s="23">
        <v>19</v>
      </c>
      <c r="B134" s="17">
        <v>1</v>
      </c>
      <c r="C134" s="23">
        <f>C133+2</f>
        <v>7</v>
      </c>
      <c r="D134" s="23">
        <f>D133+3</f>
        <v>13</v>
      </c>
      <c r="E134" s="23">
        <v>7.91</v>
      </c>
      <c r="F134" s="23">
        <v>0.03</v>
      </c>
    </row>
    <row r="135" spans="1:6" x14ac:dyDescent="0.15">
      <c r="A135" s="23">
        <v>19</v>
      </c>
      <c r="B135" s="17">
        <f>B134+1</f>
        <v>2</v>
      </c>
      <c r="C135" s="23">
        <f>C134+2</f>
        <v>9</v>
      </c>
      <c r="D135" s="23">
        <f>D134+3</f>
        <v>16</v>
      </c>
      <c r="E135" s="23">
        <v>3.98</v>
      </c>
      <c r="F135" s="23">
        <v>0.04</v>
      </c>
    </row>
    <row r="136" spans="1:6" x14ac:dyDescent="0.15">
      <c r="A136" s="23">
        <v>20</v>
      </c>
      <c r="B136" s="17">
        <f>A136+1</f>
        <v>21</v>
      </c>
      <c r="C136" s="23">
        <f>B136+1</f>
        <v>22</v>
      </c>
      <c r="D136" s="23">
        <f>C136+1</f>
        <v>23</v>
      </c>
      <c r="E136" s="23">
        <v>100.42</v>
      </c>
      <c r="F136" s="23">
        <v>0.03</v>
      </c>
    </row>
    <row r="137" spans="1:6" x14ac:dyDescent="0.15">
      <c r="A137" s="23">
        <v>20</v>
      </c>
      <c r="B137" s="17">
        <f>B136+1</f>
        <v>22</v>
      </c>
      <c r="C137" s="23">
        <f>C136+2</f>
        <v>24</v>
      </c>
      <c r="D137" s="23">
        <v>2</v>
      </c>
      <c r="E137" s="23">
        <v>57.31</v>
      </c>
      <c r="F137" s="23">
        <v>0.03</v>
      </c>
    </row>
    <row r="138" spans="1:6" x14ac:dyDescent="0.15">
      <c r="A138" s="23">
        <v>20</v>
      </c>
      <c r="B138" s="17">
        <f>B137+1</f>
        <v>23</v>
      </c>
      <c r="C138" s="23">
        <v>2</v>
      </c>
      <c r="D138" s="23">
        <f>D137+3</f>
        <v>5</v>
      </c>
      <c r="E138" s="23">
        <v>23.39</v>
      </c>
      <c r="F138" s="23">
        <v>0.03</v>
      </c>
    </row>
    <row r="139" spans="1:6" x14ac:dyDescent="0.15">
      <c r="A139" s="23">
        <v>20</v>
      </c>
      <c r="B139" s="17">
        <f>B138+1</f>
        <v>24</v>
      </c>
      <c r="C139" s="23">
        <f>C138+2</f>
        <v>4</v>
      </c>
      <c r="D139" s="23">
        <f>D138+3</f>
        <v>8</v>
      </c>
      <c r="E139" s="23">
        <v>23.18</v>
      </c>
      <c r="F139" s="23">
        <v>0.03</v>
      </c>
    </row>
    <row r="140" spans="1:6" x14ac:dyDescent="0.15">
      <c r="A140" s="23">
        <v>20</v>
      </c>
      <c r="B140" s="17">
        <v>1</v>
      </c>
      <c r="C140" s="23">
        <f>C139+2</f>
        <v>6</v>
      </c>
      <c r="D140" s="23">
        <f>D139+3</f>
        <v>11</v>
      </c>
      <c r="E140" s="23">
        <v>23.28</v>
      </c>
      <c r="F140" s="23">
        <v>0.04</v>
      </c>
    </row>
    <row r="141" spans="1:6" x14ac:dyDescent="0.15">
      <c r="A141" s="23">
        <v>20</v>
      </c>
      <c r="B141" s="17">
        <f>B140+1</f>
        <v>2</v>
      </c>
      <c r="C141" s="23">
        <f>C140+2</f>
        <v>8</v>
      </c>
      <c r="D141" s="23">
        <f>D140+3</f>
        <v>14</v>
      </c>
      <c r="E141" s="23">
        <v>25.07</v>
      </c>
      <c r="F141" s="23">
        <v>0.03</v>
      </c>
    </row>
    <row r="142" spans="1:6" x14ac:dyDescent="0.15">
      <c r="A142" s="23">
        <v>20</v>
      </c>
      <c r="B142" s="17">
        <f>B141+1</f>
        <v>3</v>
      </c>
      <c r="C142" s="23">
        <f>C141+2</f>
        <v>10</v>
      </c>
      <c r="D142" s="23">
        <f>D141+3</f>
        <v>17</v>
      </c>
      <c r="E142" s="23">
        <v>4.49</v>
      </c>
      <c r="F142" s="23">
        <v>0.03</v>
      </c>
    </row>
    <row r="143" spans="1:6" x14ac:dyDescent="0.15">
      <c r="A143" s="23">
        <v>21</v>
      </c>
      <c r="B143" s="17">
        <f>A143+1</f>
        <v>22</v>
      </c>
      <c r="C143" s="23">
        <f>B143+1</f>
        <v>23</v>
      </c>
      <c r="D143" s="23">
        <f>C143+1</f>
        <v>24</v>
      </c>
      <c r="E143" s="23">
        <v>109.33</v>
      </c>
      <c r="F143" s="23">
        <v>0.03</v>
      </c>
    </row>
    <row r="144" spans="1:6" x14ac:dyDescent="0.15">
      <c r="A144" s="23">
        <v>21</v>
      </c>
      <c r="B144" s="17">
        <f>B143+1</f>
        <v>23</v>
      </c>
      <c r="C144" s="23">
        <v>1</v>
      </c>
      <c r="D144" s="23">
        <v>3</v>
      </c>
      <c r="E144" s="23">
        <v>77.84</v>
      </c>
      <c r="F144" s="23">
        <v>0.03</v>
      </c>
    </row>
    <row r="145" spans="1:6" x14ac:dyDescent="0.15">
      <c r="A145" s="23">
        <v>21</v>
      </c>
      <c r="B145" s="17">
        <f>B144+1</f>
        <v>24</v>
      </c>
      <c r="C145" s="23">
        <f>C144+2</f>
        <v>3</v>
      </c>
      <c r="D145" s="23">
        <f>D144+3</f>
        <v>6</v>
      </c>
      <c r="E145" s="23">
        <v>31.53</v>
      </c>
      <c r="F145" s="23">
        <v>0.03</v>
      </c>
    </row>
    <row r="146" spans="1:6" x14ac:dyDescent="0.15">
      <c r="A146" s="23">
        <v>21</v>
      </c>
      <c r="B146" s="17">
        <v>1</v>
      </c>
      <c r="C146" s="23">
        <f>C145+2</f>
        <v>5</v>
      </c>
      <c r="D146" s="23">
        <f>D145+3</f>
        <v>9</v>
      </c>
      <c r="E146" s="23">
        <v>46.9</v>
      </c>
      <c r="F146" s="23">
        <v>0.04</v>
      </c>
    </row>
    <row r="147" spans="1:6" x14ac:dyDescent="0.15">
      <c r="A147" s="23">
        <v>21</v>
      </c>
      <c r="B147" s="17">
        <f>B146+1</f>
        <v>2</v>
      </c>
      <c r="C147" s="23">
        <f>C146+2</f>
        <v>7</v>
      </c>
      <c r="D147" s="23">
        <f>D146+3</f>
        <v>12</v>
      </c>
      <c r="E147" s="23">
        <v>30.52</v>
      </c>
      <c r="F147" s="23">
        <v>0.03</v>
      </c>
    </row>
    <row r="148" spans="1:6" x14ac:dyDescent="0.15">
      <c r="A148" s="23">
        <v>21</v>
      </c>
      <c r="B148" s="17">
        <f>B147+1</f>
        <v>3</v>
      </c>
      <c r="C148" s="23">
        <f>C147+2</f>
        <v>9</v>
      </c>
      <c r="D148" s="23">
        <f>D147+3</f>
        <v>15</v>
      </c>
      <c r="E148" s="23">
        <v>32.75</v>
      </c>
      <c r="F148" s="23">
        <v>0.04</v>
      </c>
    </row>
    <row r="149" spans="1:6" x14ac:dyDescent="0.15">
      <c r="A149" s="23">
        <v>21</v>
      </c>
      <c r="B149" s="17">
        <f>B148+1</f>
        <v>4</v>
      </c>
      <c r="C149" s="23">
        <f>C148+2</f>
        <v>11</v>
      </c>
      <c r="D149" s="23">
        <f>D148+3</f>
        <v>18</v>
      </c>
      <c r="E149" s="23">
        <v>12.81</v>
      </c>
      <c r="F149" s="23">
        <v>0.04</v>
      </c>
    </row>
    <row r="150" spans="1:6" x14ac:dyDescent="0.15">
      <c r="A150" s="23">
        <v>22</v>
      </c>
      <c r="B150" s="17">
        <f>A150+1</f>
        <v>23</v>
      </c>
      <c r="C150" s="23">
        <f>B150+1</f>
        <v>24</v>
      </c>
      <c r="D150" s="23">
        <v>1</v>
      </c>
      <c r="E150" s="23">
        <v>114.65</v>
      </c>
      <c r="F150" s="23">
        <v>0.03</v>
      </c>
    </row>
    <row r="151" spans="1:6" x14ac:dyDescent="0.15">
      <c r="A151" s="23">
        <v>22</v>
      </c>
      <c r="B151" s="17">
        <f>B150+1</f>
        <v>24</v>
      </c>
      <c r="C151" s="23">
        <v>2</v>
      </c>
      <c r="D151" s="23">
        <f t="shared" ref="D151:D156" si="30">D150+3</f>
        <v>4</v>
      </c>
      <c r="E151" s="23">
        <v>79.430000000000007</v>
      </c>
      <c r="F151" s="23">
        <v>0.03</v>
      </c>
    </row>
    <row r="152" spans="1:6" x14ac:dyDescent="0.15">
      <c r="A152" s="23">
        <v>22</v>
      </c>
      <c r="B152" s="17">
        <v>1</v>
      </c>
      <c r="C152" s="23">
        <f>C151+2</f>
        <v>4</v>
      </c>
      <c r="D152" s="23">
        <f t="shared" si="30"/>
        <v>7</v>
      </c>
      <c r="E152" s="23">
        <v>79.64</v>
      </c>
      <c r="F152" s="23">
        <v>0.04</v>
      </c>
    </row>
    <row r="153" spans="1:6" x14ac:dyDescent="0.15">
      <c r="A153" s="23">
        <v>22</v>
      </c>
      <c r="B153" s="17">
        <f>B152+1</f>
        <v>2</v>
      </c>
      <c r="C153" s="23">
        <f>C152+2</f>
        <v>6</v>
      </c>
      <c r="D153" s="23">
        <f t="shared" si="30"/>
        <v>10</v>
      </c>
      <c r="E153" s="23">
        <v>54.7</v>
      </c>
      <c r="F153" s="23">
        <v>0.04</v>
      </c>
    </row>
    <row r="154" spans="1:6" x14ac:dyDescent="0.15">
      <c r="A154" s="23">
        <v>22</v>
      </c>
      <c r="B154" s="17">
        <f>B153+1</f>
        <v>3</v>
      </c>
      <c r="C154" s="23">
        <f>C153+2</f>
        <v>8</v>
      </c>
      <c r="D154" s="23">
        <f t="shared" si="30"/>
        <v>13</v>
      </c>
      <c r="E154" s="23">
        <v>35.21</v>
      </c>
      <c r="F154" s="23">
        <v>0.03</v>
      </c>
    </row>
    <row r="155" spans="1:6" x14ac:dyDescent="0.15">
      <c r="A155" s="23">
        <v>22</v>
      </c>
      <c r="B155" s="17">
        <f>B154+1</f>
        <v>4</v>
      </c>
      <c r="C155" s="23">
        <f>C154+2</f>
        <v>10</v>
      </c>
      <c r="D155" s="23">
        <f t="shared" si="30"/>
        <v>16</v>
      </c>
      <c r="E155" s="23">
        <v>25.11</v>
      </c>
      <c r="F155" s="23">
        <v>0.03</v>
      </c>
    </row>
    <row r="156" spans="1:6" x14ac:dyDescent="0.15">
      <c r="A156" s="23">
        <v>22</v>
      </c>
      <c r="B156" s="17">
        <f>B155+1</f>
        <v>5</v>
      </c>
      <c r="C156" s="23">
        <f>C155+2</f>
        <v>12</v>
      </c>
      <c r="D156" s="23">
        <f t="shared" si="30"/>
        <v>19</v>
      </c>
      <c r="E156" s="23">
        <v>10.86</v>
      </c>
      <c r="F156" s="23">
        <v>0.04</v>
      </c>
    </row>
    <row r="157" spans="1:6" x14ac:dyDescent="0.15">
      <c r="A157" s="23">
        <v>23</v>
      </c>
      <c r="B157" s="17">
        <f>A157+1</f>
        <v>24</v>
      </c>
      <c r="C157" s="23">
        <v>1</v>
      </c>
      <c r="D157" s="23">
        <v>2</v>
      </c>
      <c r="E157" s="23">
        <v>97.66</v>
      </c>
      <c r="F157" s="23">
        <v>0.03</v>
      </c>
    </row>
    <row r="158" spans="1:6" x14ac:dyDescent="0.15">
      <c r="A158" s="23">
        <v>23</v>
      </c>
      <c r="B158" s="17">
        <v>1</v>
      </c>
      <c r="C158" s="23">
        <f t="shared" ref="C158:C163" si="31">C157+2</f>
        <v>3</v>
      </c>
      <c r="D158" s="23">
        <f t="shared" ref="D158:D163" si="32">D157+3</f>
        <v>5</v>
      </c>
      <c r="E158" s="23">
        <v>80.41</v>
      </c>
      <c r="F158" s="23">
        <v>0.03</v>
      </c>
    </row>
    <row r="159" spans="1:6" x14ac:dyDescent="0.15">
      <c r="A159" s="23">
        <v>23</v>
      </c>
      <c r="B159" s="17">
        <f>B158+1</f>
        <v>2</v>
      </c>
      <c r="C159" s="23">
        <f t="shared" si="31"/>
        <v>5</v>
      </c>
      <c r="D159" s="23">
        <f t="shared" si="32"/>
        <v>8</v>
      </c>
      <c r="E159" s="23">
        <v>67.819999999999993</v>
      </c>
      <c r="F159" s="23">
        <v>0.03</v>
      </c>
    </row>
    <row r="160" spans="1:6" x14ac:dyDescent="0.15">
      <c r="A160" s="23">
        <v>23</v>
      </c>
      <c r="B160" s="17">
        <f>B159+1</f>
        <v>3</v>
      </c>
      <c r="C160" s="23">
        <f t="shared" si="31"/>
        <v>7</v>
      </c>
      <c r="D160" s="23">
        <f t="shared" si="32"/>
        <v>11</v>
      </c>
      <c r="E160" s="23">
        <v>42.98</v>
      </c>
      <c r="F160" s="23">
        <v>0.04</v>
      </c>
    </row>
    <row r="161" spans="1:6" x14ac:dyDescent="0.15">
      <c r="A161" s="23">
        <v>23</v>
      </c>
      <c r="B161" s="17">
        <f>B160+1</f>
        <v>4</v>
      </c>
      <c r="C161" s="23">
        <f t="shared" si="31"/>
        <v>9</v>
      </c>
      <c r="D161" s="23">
        <f t="shared" si="32"/>
        <v>14</v>
      </c>
      <c r="E161" s="23">
        <v>28.37</v>
      </c>
      <c r="F161" s="23">
        <v>0.03</v>
      </c>
    </row>
    <row r="162" spans="1:6" x14ac:dyDescent="0.15">
      <c r="A162" s="23">
        <v>23</v>
      </c>
      <c r="B162" s="17">
        <f>B161+1</f>
        <v>5</v>
      </c>
      <c r="C162" s="23">
        <f t="shared" si="31"/>
        <v>11</v>
      </c>
      <c r="D162" s="23">
        <f t="shared" si="32"/>
        <v>17</v>
      </c>
      <c r="E162" s="23">
        <v>21.4</v>
      </c>
      <c r="F162" s="23">
        <v>0.03</v>
      </c>
    </row>
    <row r="163" spans="1:6" x14ac:dyDescent="0.15">
      <c r="A163" s="23">
        <v>23</v>
      </c>
      <c r="B163" s="17">
        <f>B162+1</f>
        <v>6</v>
      </c>
      <c r="C163" s="23">
        <f t="shared" si="31"/>
        <v>13</v>
      </c>
      <c r="D163" s="23">
        <f t="shared" si="32"/>
        <v>20</v>
      </c>
      <c r="E163" s="23">
        <v>5.29</v>
      </c>
      <c r="F163" s="23">
        <v>0.03</v>
      </c>
    </row>
    <row r="164" spans="1:6" x14ac:dyDescent="0.15">
      <c r="A164" s="23">
        <v>24</v>
      </c>
      <c r="B164" s="17">
        <v>1</v>
      </c>
      <c r="C164" s="23">
        <v>2</v>
      </c>
      <c r="D164" s="23">
        <f>C164+1</f>
        <v>3</v>
      </c>
      <c r="E164" s="23">
        <v>84.23</v>
      </c>
      <c r="F164" s="23">
        <v>0.03</v>
      </c>
    </row>
    <row r="165" spans="1:6" x14ac:dyDescent="0.15">
      <c r="A165" s="23">
        <v>24</v>
      </c>
      <c r="B165" s="17">
        <f t="shared" ref="B165:B170" si="33">B164+1</f>
        <v>2</v>
      </c>
      <c r="C165" s="23">
        <f t="shared" ref="C165:C170" si="34">C164+2</f>
        <v>4</v>
      </c>
      <c r="D165" s="23">
        <f t="shared" ref="D165:D170" si="35">D164+3</f>
        <v>6</v>
      </c>
      <c r="E165" s="23">
        <v>28.1</v>
      </c>
      <c r="F165" s="23">
        <v>0.03</v>
      </c>
    </row>
    <row r="166" spans="1:6" x14ac:dyDescent="0.15">
      <c r="A166" s="23">
        <v>24</v>
      </c>
      <c r="B166" s="17">
        <f t="shared" si="33"/>
        <v>3</v>
      </c>
      <c r="C166" s="23">
        <f t="shared" si="34"/>
        <v>6</v>
      </c>
      <c r="D166" s="23">
        <f t="shared" si="35"/>
        <v>9</v>
      </c>
      <c r="E166" s="23">
        <v>16.13</v>
      </c>
      <c r="F166" s="23">
        <v>0.03</v>
      </c>
    </row>
    <row r="167" spans="1:6" x14ac:dyDescent="0.15">
      <c r="A167" s="23">
        <v>24</v>
      </c>
      <c r="B167" s="17">
        <f t="shared" si="33"/>
        <v>4</v>
      </c>
      <c r="C167" s="23">
        <f t="shared" si="34"/>
        <v>8</v>
      </c>
      <c r="D167" s="23">
        <f t="shared" si="35"/>
        <v>12</v>
      </c>
      <c r="E167" s="23">
        <v>17.510000000000002</v>
      </c>
      <c r="F167" s="23">
        <v>0.03</v>
      </c>
    </row>
    <row r="168" spans="1:6" x14ac:dyDescent="0.15">
      <c r="A168" s="23">
        <v>24</v>
      </c>
      <c r="B168" s="17">
        <f t="shared" si="33"/>
        <v>5</v>
      </c>
      <c r="C168" s="23">
        <f t="shared" si="34"/>
        <v>10</v>
      </c>
      <c r="D168" s="23">
        <f t="shared" si="35"/>
        <v>15</v>
      </c>
      <c r="E168" s="23">
        <v>12.1</v>
      </c>
      <c r="F168" s="23">
        <v>0.03</v>
      </c>
    </row>
    <row r="169" spans="1:6" x14ac:dyDescent="0.15">
      <c r="A169" s="23">
        <v>24</v>
      </c>
      <c r="B169" s="17">
        <f t="shared" si="33"/>
        <v>6</v>
      </c>
      <c r="C169" s="23">
        <f t="shared" si="34"/>
        <v>12</v>
      </c>
      <c r="D169" s="23">
        <f t="shared" si="35"/>
        <v>18</v>
      </c>
      <c r="E169" s="23">
        <v>6.04</v>
      </c>
      <c r="F169" s="23">
        <v>0.03</v>
      </c>
    </row>
    <row r="170" spans="1:6" x14ac:dyDescent="0.15">
      <c r="A170" s="23">
        <v>24</v>
      </c>
      <c r="B170" s="17">
        <f t="shared" si="33"/>
        <v>7</v>
      </c>
      <c r="C170" s="23">
        <f t="shared" si="34"/>
        <v>14</v>
      </c>
      <c r="D170" s="23">
        <f t="shared" si="35"/>
        <v>21</v>
      </c>
      <c r="E170" s="23">
        <v>0.19</v>
      </c>
      <c r="F170" s="23">
        <v>0.03</v>
      </c>
    </row>
    <row r="171" spans="1:6" x14ac:dyDescent="0.15">
      <c r="A171" s="23"/>
      <c r="B171" s="23"/>
      <c r="C171" s="23"/>
      <c r="D171" s="23"/>
      <c r="E171" s="23"/>
      <c r="F171" s="23"/>
    </row>
    <row r="172" spans="1:6" x14ac:dyDescent="0.15">
      <c r="E172" s="23"/>
      <c r="F172" s="23"/>
    </row>
    <row r="173" spans="1:6" x14ac:dyDescent="0.15">
      <c r="E173" s="23"/>
      <c r="F173" s="23"/>
    </row>
    <row r="174" spans="1:6" x14ac:dyDescent="0.15">
      <c r="E174" s="23"/>
      <c r="F174" s="23"/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基本数据计算</vt:lpstr>
      <vt:lpstr>数据记录实验1</vt:lpstr>
      <vt:lpstr>数据记录实验2</vt:lpstr>
      <vt:lpstr>数据记录实验3</vt:lpstr>
      <vt:lpstr>Sheet3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2018-06-10T15:14:25Z</dcterms:modified>
</cp:coreProperties>
</file>